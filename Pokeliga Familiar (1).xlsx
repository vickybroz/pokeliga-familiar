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anual" sheetId="1" r:id="rId5"/>
    <sheet state="visible" name="112" sheetId="2" r:id="rId6"/>
    <sheet state="visible" name="212" sheetId="3" r:id="rId7"/>
    <sheet state="visible" name="312" sheetId="4" r:id="rId8"/>
    <sheet state="visible" name="412" sheetId="5" r:id="rId9"/>
    <sheet state="visible" name="11" sheetId="6" r:id="rId10"/>
    <sheet state="visible" name="21" sheetId="7" r:id="rId11"/>
    <sheet state="visible" name="31" sheetId="8" r:id="rId12"/>
    <sheet state="visible" name="41" sheetId="9" r:id="rId13"/>
    <sheet state="visible" name="12" sheetId="10" r:id="rId14"/>
  </sheets>
  <definedNames/>
  <calcPr/>
</workbook>
</file>

<file path=xl/sharedStrings.xml><?xml version="1.0" encoding="utf-8"?>
<sst xmlns="http://schemas.openxmlformats.org/spreadsheetml/2006/main" count="437" uniqueCount="53">
  <si>
    <t>Equipos</t>
  </si>
  <si>
    <t>Puntos</t>
  </si>
  <si>
    <t>Participante</t>
  </si>
  <si>
    <t>Cantidad</t>
  </si>
  <si>
    <t>Velocidad</t>
  </si>
  <si>
    <t>Media</t>
  </si>
  <si>
    <t>Tabla Semanal</t>
  </si>
  <si>
    <t>Jugadores</t>
  </si>
  <si>
    <t>Total</t>
  </si>
  <si>
    <t>Abi</t>
  </si>
  <si>
    <t>Chiqui</t>
  </si>
  <si>
    <t>Estela</t>
  </si>
  <si>
    <t>Facu</t>
  </si>
  <si>
    <t>Gio</t>
  </si>
  <si>
    <t>Lu</t>
  </si>
  <si>
    <t>Maru C</t>
  </si>
  <si>
    <t>Maru M</t>
  </si>
  <si>
    <t>Nico</t>
  </si>
  <si>
    <t>Samy</t>
  </si>
  <si>
    <t>Vicky</t>
  </si>
  <si>
    <t>Tabla anual</t>
  </si>
  <si>
    <t>Jugador</t>
  </si>
  <si>
    <t>Objetivo del desafío</t>
  </si>
  <si>
    <t>Girar 150 Poképaradas</t>
  </si>
  <si>
    <t>Fecha de inicio</t>
  </si>
  <si>
    <t>Fecha final oficial</t>
  </si>
  <si>
    <t>Duración total (horas)</t>
  </si>
  <si>
    <t>Ritmo oficial (giros/hora)</t>
  </si>
  <si>
    <t>Cantidad Media (cantidadxequipos)/participantes</t>
  </si>
  <si>
    <t>Equipo</t>
  </si>
  <si>
    <t>Puesto</t>
  </si>
  <si>
    <t>Hora de finalización</t>
  </si>
  <si>
    <t>Horas totales</t>
  </si>
  <si>
    <t>Rojo</t>
  </si>
  <si>
    <t>Amarillo</t>
  </si>
  <si>
    <t>Celeste</t>
  </si>
  <si>
    <t>Posición</t>
  </si>
  <si>
    <t>Nombre</t>
  </si>
  <si>
    <t>Plus Velocidad</t>
  </si>
  <si>
    <t>Puntos Equipo</t>
  </si>
  <si>
    <t>Puntos Cantidad</t>
  </si>
  <si>
    <t>Puntos Velocidad</t>
  </si>
  <si>
    <t>Total de Puntos</t>
  </si>
  <si>
    <t>Completar 25 tareas de investigacion</t>
  </si>
  <si>
    <t>Ritmo oficial</t>
  </si>
  <si>
    <t>Naranja</t>
  </si>
  <si>
    <t>Explora 30 kms</t>
  </si>
  <si>
    <t>Atrapa 500 pokemones</t>
  </si>
  <si>
    <t>Girar 150 Pokeparadas</t>
  </si>
  <si>
    <t>25 tareas de investigacion</t>
  </si>
  <si>
    <t>Camina 30 km</t>
  </si>
  <si>
    <t>Atrapar 500 pokemones</t>
  </si>
  <si>
    <t>Gira 150 pokeparadas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</si>
</sst>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"/>
    <numFmt numFmtId="165" formatCode="dd/mm/yyyy h:mm"/>
    <numFmt numFmtId="166" formatCode="d/m/yyyy h:mm"/>
    <numFmt numFmtId="167" formatCode="d.m"/>
    <numFmt numFmtId="168" formatCode="d/m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rgb="FFFFFFFF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3" numFmtId="164" xfId="0" applyAlignment="1" applyBorder="1" applyFont="1" applyNumberFormat="1">
      <alignment readingOrder="0"/>
    </xf>
    <xf borderId="1" fillId="2" fontId="3" numFmtId="164" xfId="0" applyAlignment="1" applyBorder="1" applyFont="1" applyNumberFormat="1">
      <alignment horizontal="right" readingOrder="0"/>
    </xf>
    <xf borderId="1" fillId="2" fontId="3" numFmtId="164" xfId="0" applyAlignment="1" applyBorder="1" applyFont="1" applyNumberFormat="1">
      <alignment horizontal="center" readingOrder="0"/>
    </xf>
    <xf borderId="1" fillId="2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Font="1"/>
    <xf borderId="1" fillId="3" fontId="7" numFmtId="0" xfId="0" applyAlignment="1" applyBorder="1" applyFill="1" applyFont="1">
      <alignment readingOrder="0"/>
    </xf>
    <xf borderId="1" fillId="0" fontId="6" numFmtId="0" xfId="0" applyBorder="1" applyFont="1"/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/>
    </xf>
    <xf borderId="0" fillId="0" fontId="2" numFmtId="167" xfId="0" applyAlignment="1" applyFont="1" applyNumberFormat="1">
      <alignment readingOrder="0"/>
    </xf>
    <xf borderId="0" fillId="0" fontId="1" numFmtId="0" xfId="0" applyAlignment="1" applyFont="1">
      <alignment horizontal="right"/>
    </xf>
    <xf borderId="1" fillId="2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left" readingOrder="0"/>
    </xf>
    <xf borderId="1" fillId="5" fontId="1" numFmtId="0" xfId="0" applyAlignment="1" applyBorder="1" applyFont="1">
      <alignment horizontal="left"/>
    </xf>
    <xf borderId="1" fillId="5" fontId="2" numFmtId="0" xfId="0" applyBorder="1" applyFont="1"/>
    <xf borderId="1" fillId="4" fontId="1" numFmtId="0" xfId="0" applyAlignment="1" applyBorder="1" applyFont="1">
      <alignment horizontal="center"/>
    </xf>
    <xf borderId="1" fillId="5" fontId="2" numFmtId="0" xfId="0" applyAlignment="1" applyBorder="1" applyFont="1">
      <alignment horizontal="left" readingOrder="0"/>
    </xf>
    <xf borderId="1" fillId="6" fontId="2" numFmtId="0" xfId="0" applyAlignment="1" applyBorder="1" applyFill="1" applyFont="1">
      <alignment horizontal="left" readingOrder="0"/>
    </xf>
    <xf borderId="1" fillId="6" fontId="1" numFmtId="0" xfId="0" applyAlignment="1" applyBorder="1" applyFont="1">
      <alignment horizontal="left"/>
    </xf>
    <xf borderId="1" fillId="6" fontId="2" numFmtId="0" xfId="0" applyBorder="1" applyFont="1"/>
    <xf borderId="1" fillId="0" fontId="2" numFmtId="0" xfId="0" applyAlignment="1" applyBorder="1" applyFont="1">
      <alignment horizontal="left" readingOrder="0"/>
    </xf>
    <xf borderId="1" fillId="5" fontId="1" numFmtId="0" xfId="0" applyAlignment="1" applyBorder="1" applyFont="1">
      <alignment horizontal="right" readingOrder="0"/>
    </xf>
    <xf borderId="1" fillId="5" fontId="2" numFmtId="0" xfId="0" applyAlignment="1" applyBorder="1" applyFont="1">
      <alignment horizontal="right"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left"/>
    </xf>
    <xf borderId="1" fillId="6" fontId="8" numFmtId="0" xfId="0" applyAlignment="1" applyBorder="1" applyFont="1">
      <alignment vertical="bottom"/>
    </xf>
    <xf borderId="1" fillId="6" fontId="8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righ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0" fillId="0" fontId="2" numFmtId="168" xfId="0" applyAlignment="1" applyFont="1" applyNumberFormat="1">
      <alignment readingOrder="0"/>
    </xf>
    <xf borderId="1" fillId="5" fontId="8" numFmtId="0" xfId="0" applyAlignment="1" applyBorder="1" applyFont="1">
      <alignment readingOrder="0" vertical="bottom"/>
    </xf>
    <xf borderId="1" fillId="5" fontId="8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horizontal="right" readingOrder="0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readingOrder="0"/>
    </xf>
    <xf borderId="1" fillId="6" fontId="8" numFmtId="0" xfId="0" applyAlignment="1" applyBorder="1" applyFont="1">
      <alignment readingOrder="0" vertical="bottom"/>
    </xf>
    <xf borderId="1" fillId="6" fontId="8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horizontal="left"/>
    </xf>
    <xf borderId="1" fillId="6" fontId="2" numFmtId="0" xfId="0" applyAlignment="1" applyBorder="1" applyFont="1">
      <alignment horizontal="left"/>
    </xf>
    <xf borderId="1" fillId="7" fontId="2" numFmtId="0" xfId="0" applyAlignment="1" applyBorder="1" applyFill="1" applyFont="1">
      <alignment horizontal="left" readingOrder="0"/>
    </xf>
    <xf borderId="1" fillId="7" fontId="2" numFmtId="0" xfId="0" applyAlignment="1" applyBorder="1" applyFont="1">
      <alignment horizontal="right" readingOrder="0"/>
    </xf>
    <xf borderId="1" fillId="7" fontId="1" numFmtId="0" xfId="0" applyAlignment="1" applyBorder="1" applyFont="1">
      <alignment horizontal="left"/>
    </xf>
    <xf borderId="1" fillId="7" fontId="2" numFmtId="0" xfId="0" applyAlignment="1" applyBorder="1" applyFont="1">
      <alignment readingOrder="0"/>
    </xf>
    <xf borderId="1" fillId="7" fontId="2" numFmtId="0" xfId="0" applyBorder="1" applyFont="1"/>
    <xf borderId="1" fillId="5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3.88"/>
    <col customWidth="1" min="3" max="3" width="14.75"/>
    <col customWidth="1" min="5" max="5" width="13.13"/>
    <col customWidth="1" min="8" max="8" width="10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2</v>
      </c>
      <c r="F1" s="2" t="s">
        <v>4</v>
      </c>
    </row>
    <row r="2">
      <c r="A2" s="1">
        <v>1.0</v>
      </c>
      <c r="B2" s="2">
        <v>4.0</v>
      </c>
      <c r="C2" s="1">
        <v>1.0</v>
      </c>
      <c r="D2" s="2">
        <v>4.0</v>
      </c>
      <c r="E2" s="1">
        <v>1.0</v>
      </c>
      <c r="F2" s="2">
        <v>4.0</v>
      </c>
    </row>
    <row r="3">
      <c r="A3" s="1">
        <v>2.0</v>
      </c>
      <c r="B3" s="2">
        <v>3.0</v>
      </c>
      <c r="C3" s="1">
        <v>2.0</v>
      </c>
      <c r="D3" s="2">
        <v>3.0</v>
      </c>
      <c r="E3" s="1">
        <v>2.0</v>
      </c>
      <c r="F3" s="2">
        <v>3.0</v>
      </c>
    </row>
    <row r="4">
      <c r="A4" s="1">
        <v>3.0</v>
      </c>
      <c r="B4" s="2">
        <v>2.0</v>
      </c>
      <c r="C4" s="1">
        <v>3.0</v>
      </c>
      <c r="D4" s="2">
        <v>2.0</v>
      </c>
      <c r="E4" s="1">
        <v>3.0</v>
      </c>
      <c r="F4" s="2">
        <v>2.0</v>
      </c>
    </row>
    <row r="5">
      <c r="C5" s="2" t="s">
        <v>5</v>
      </c>
      <c r="D5" s="2">
        <v>1.0</v>
      </c>
      <c r="E5" s="2" t="s">
        <v>5</v>
      </c>
      <c r="F5" s="2">
        <v>1.0</v>
      </c>
    </row>
    <row r="7">
      <c r="A7" s="3" t="s">
        <v>6</v>
      </c>
    </row>
    <row r="8">
      <c r="A8" s="4" t="s">
        <v>7</v>
      </c>
      <c r="B8" s="5">
        <v>45992.0</v>
      </c>
      <c r="C8" s="5">
        <v>45993.0</v>
      </c>
      <c r="D8" s="6">
        <v>45994.0</v>
      </c>
      <c r="E8" s="7">
        <v>45995.0</v>
      </c>
      <c r="F8" s="7">
        <v>46023.0</v>
      </c>
      <c r="G8" s="7">
        <v>46024.0</v>
      </c>
      <c r="H8" s="8">
        <v>46025.0</v>
      </c>
      <c r="I8" s="8">
        <v>46026.0</v>
      </c>
      <c r="J8" s="8">
        <v>46054.0</v>
      </c>
      <c r="K8" s="8" t="s">
        <v>8</v>
      </c>
      <c r="M8" s="9"/>
    </row>
    <row r="9">
      <c r="A9" s="10" t="s">
        <v>9</v>
      </c>
      <c r="B9" s="11">
        <f>IFERROR(
  VLOOKUP($A9, '112'!$B$14:$I$24, 8, FALSE),
  0
)</f>
        <v>0</v>
      </c>
      <c r="C9" s="11">
        <f>IFERROR(
  VLOOKUP($A9, '212'!$B$14:$I$24, 8, FALSE),
  0
)</f>
        <v>3</v>
      </c>
      <c r="D9" s="11">
        <f>IFERROR(
  VLOOKUP($A9, '312'!$B$14:$I$24, 8, FALSE),
  0
)</f>
        <v>3</v>
      </c>
      <c r="E9" s="11">
        <f>IFERROR(
  VLOOKUP($A9, '412'!$B$14:$I$24, 8, FALSE),
  0
)</f>
        <v>3</v>
      </c>
      <c r="F9" s="11">
        <f>IFERROR(
  VLOOKUP($A9, '11'!$B$14:$I$24, 8, FALSE),
  0
)</f>
        <v>12</v>
      </c>
      <c r="G9" s="11">
        <f>IFERROR(
  VLOOKUP($A9, '21'!$B$14:$I$24, 8, FALSE),
  0
)</f>
        <v>5</v>
      </c>
      <c r="H9" s="11">
        <f>IFERROR(
  VLOOKUP($A9, '31'!$B$14:$I$24, 8, FALSE),
  0
)</f>
        <v>3</v>
      </c>
      <c r="I9" s="11">
        <f>IFERROR(
  VLOOKUP($A9, '41'!$B$14:$I$24, 8, FALSE),
  0
)</f>
        <v>2</v>
      </c>
      <c r="J9" s="11">
        <f>IFERROR(
  VLOOKUP($A9, '12'!$B$14:$I$24, 8, FALSE),
  0
)</f>
        <v>2</v>
      </c>
      <c r="K9" s="12">
        <f t="shared" ref="K9:K19" si="1">sum(B9:J9)</f>
        <v>33</v>
      </c>
      <c r="P9" s="13"/>
    </row>
    <row r="10">
      <c r="A10" s="10" t="s">
        <v>10</v>
      </c>
      <c r="B10" s="11">
        <f>IFERROR(
  VLOOKUP($A10, '112'!$B$14:$I$24, 8, FALSE),
  0
)</f>
        <v>4</v>
      </c>
      <c r="C10" s="11">
        <f>IFERROR(
  VLOOKUP($A10, '212'!$B$14:$I$24, 8, FALSE),
  0
)</f>
        <v>3</v>
      </c>
      <c r="D10" s="11">
        <f>IFERROR(
  VLOOKUP($A10, '312'!$B$14:$I$24, 8, FALSE),
  0
)</f>
        <v>4</v>
      </c>
      <c r="E10" s="11">
        <f>IFERROR(
  VLOOKUP($A10, '412'!$B$14:$I$24, 8, FALSE),
  0
)</f>
        <v>3</v>
      </c>
      <c r="F10" s="11">
        <f>IFERROR(
  VLOOKUP($A10, '11'!$B$14:$I$24, 8, FALSE),
  0
)</f>
        <v>12</v>
      </c>
      <c r="G10" s="11">
        <f>IFERROR(
  VLOOKUP($A10, '21'!$B$14:$I$24, 8, FALSE),
  0
)</f>
        <v>6</v>
      </c>
      <c r="H10" s="11">
        <f>IFERROR(
  VLOOKUP($A10, '31'!$B$14:$I$24, 8, FALSE),
  0
)</f>
        <v>5</v>
      </c>
      <c r="I10" s="11">
        <f>IFERROR(
  VLOOKUP($A10, '41'!$B$14:$I$24, 8, FALSE),
  0
)</f>
        <v>6</v>
      </c>
      <c r="J10" s="11">
        <f>IFERROR(
  VLOOKUP($A10, '12'!$B$14:$I$24, 8, FALSE),
  0
)</f>
        <v>8</v>
      </c>
      <c r="K10" s="12">
        <f t="shared" si="1"/>
        <v>51</v>
      </c>
      <c r="P10" s="13"/>
    </row>
    <row r="11">
      <c r="A11" s="10" t="s">
        <v>11</v>
      </c>
      <c r="B11" s="11">
        <f>IFERROR(
  VLOOKUP($A11, '112'!$B$14:$I$24, 8, FALSE),
  0
)</f>
        <v>2</v>
      </c>
      <c r="C11" s="11">
        <f>IFERROR(
  VLOOKUP($A11, '212'!$B$14:$I$24, 8, FALSE),
  0
)</f>
        <v>2</v>
      </c>
      <c r="D11" s="11">
        <f>IFERROR(
  VLOOKUP($A11, '312'!$B$14:$I$24, 8, FALSE),
  0
)</f>
        <v>4</v>
      </c>
      <c r="E11" s="11">
        <f>IFERROR(
  VLOOKUP($A11, '412'!$B$14:$I$24, 8, FALSE),
  0
)</f>
        <v>4</v>
      </c>
      <c r="F11" s="11">
        <f>IFERROR(
  VLOOKUP($A11, '11'!$B$14:$I$24, 8, FALSE),
  0
)</f>
        <v>3</v>
      </c>
      <c r="G11" s="11">
        <f>IFERROR(
  VLOOKUP($A11, '21'!$B$14:$I$24, 8, FALSE),
  0
)</f>
        <v>4</v>
      </c>
      <c r="H11" s="11">
        <f>IFERROR(
  VLOOKUP($A11, '31'!$B$14:$I$24, 8, FALSE),
  0
)</f>
        <v>3</v>
      </c>
      <c r="I11" s="11">
        <f>IFERROR(
  VLOOKUP($A11, '41'!$B$14:$I$24, 8, FALSE),
  0
)</f>
        <v>7</v>
      </c>
      <c r="J11" s="11">
        <f>IFERROR(
  VLOOKUP($A11, '12'!$B$14:$I$24, 8, FALSE),
  0
)</f>
        <v>8</v>
      </c>
      <c r="K11" s="12">
        <f t="shared" si="1"/>
        <v>37</v>
      </c>
      <c r="P11" s="13"/>
    </row>
    <row r="12">
      <c r="A12" s="10" t="s">
        <v>12</v>
      </c>
      <c r="B12" s="11">
        <f>IFERROR(
  VLOOKUP($A12, '112'!$B$14:$I$24, 8, FALSE),
  0
)</f>
        <v>12</v>
      </c>
      <c r="C12" s="11">
        <f>IFERROR(
  VLOOKUP($A12, '212'!$B$14:$I$24, 8, FALSE),
  0
)</f>
        <v>4</v>
      </c>
      <c r="D12" s="11">
        <f>IFERROR(
  VLOOKUP($A12, '312'!$B$14:$I$24, 8, FALSE),
  0
)</f>
        <v>6</v>
      </c>
      <c r="E12" s="11">
        <f>IFERROR(
  VLOOKUP($A12, '412'!$B$14:$I$24, 8, FALSE),
  0
)</f>
        <v>7</v>
      </c>
      <c r="F12" s="11">
        <f>IFERROR(
  VLOOKUP($A12, '11'!$B$14:$I$24, 8, FALSE),
  0
)</f>
        <v>0</v>
      </c>
      <c r="G12" s="11">
        <f>IFERROR(
  VLOOKUP($A12, '21'!$B$14:$I$24, 8, FALSE),
  0
)</f>
        <v>3</v>
      </c>
      <c r="H12" s="11">
        <f>IFERROR(
  VLOOKUP($A12, '31'!$B$14:$I$24, 8, FALSE),
  0
)</f>
        <v>2</v>
      </c>
      <c r="I12" s="11">
        <f>IFERROR(
  VLOOKUP($A12, '41'!$B$14:$I$24, 8, FALSE),
  0
)</f>
        <v>2</v>
      </c>
      <c r="J12" s="11">
        <f>IFERROR(
  VLOOKUP($A12, '12'!$B$14:$I$24, 8, FALSE),
  0
)</f>
        <v>11</v>
      </c>
      <c r="K12" s="12">
        <f t="shared" si="1"/>
        <v>47</v>
      </c>
      <c r="P12" s="13"/>
    </row>
    <row r="13">
      <c r="A13" s="10" t="s">
        <v>13</v>
      </c>
      <c r="B13" s="11">
        <f>IFERROR(
  VLOOKUP($A13, '112'!$B$14:$I$24, 8, FALSE),
  0
)</f>
        <v>4</v>
      </c>
      <c r="C13" s="11">
        <f>IFERROR(
  VLOOKUP($A13, '212'!$B$14:$I$24, 8, FALSE),
  0
)</f>
        <v>4</v>
      </c>
      <c r="D13" s="11">
        <f>IFERROR(
  VLOOKUP($A13, '312'!$B$14:$I$24, 8, FALSE),
  0
)</f>
        <v>2</v>
      </c>
      <c r="E13" s="11">
        <f>IFERROR(
  VLOOKUP($A13, '412'!$B$14:$I$24, 8, FALSE),
  0
)</f>
        <v>4</v>
      </c>
      <c r="F13" s="11">
        <f>IFERROR(
  VLOOKUP($A13, '11'!$B$14:$I$24, 8, FALSE),
  0
)</f>
        <v>3</v>
      </c>
      <c r="G13" s="11">
        <f>IFERROR(
  VLOOKUP($A13, '21'!$B$14:$I$24, 8, FALSE),
  0
)</f>
        <v>6</v>
      </c>
      <c r="H13" s="11">
        <f>IFERROR(
  VLOOKUP($A13, '31'!$B$14:$I$24, 8, FALSE),
  0
)</f>
        <v>7</v>
      </c>
      <c r="I13" s="11">
        <f>IFERROR(
  VLOOKUP($A13, '41'!$B$14:$I$24, 8, FALSE),
  0
)</f>
        <v>7</v>
      </c>
      <c r="J13" s="11">
        <f>IFERROR(
  VLOOKUP($A13, '12'!$B$14:$I$24, 8, FALSE),
  0
)</f>
        <v>4</v>
      </c>
      <c r="K13" s="12">
        <f t="shared" si="1"/>
        <v>41</v>
      </c>
      <c r="P13" s="13"/>
    </row>
    <row r="14">
      <c r="A14" s="10" t="s">
        <v>14</v>
      </c>
      <c r="B14" s="11">
        <f>IFERROR(
  VLOOKUP($A14, '112'!$B$14:$I$24, 8, FALSE),
  0
)</f>
        <v>6</v>
      </c>
      <c r="C14" s="11">
        <f>IFERROR(
  VLOOKUP($A14, '212'!$B$14:$I$24, 8, FALSE),
  0
)</f>
        <v>3</v>
      </c>
      <c r="D14" s="11">
        <f>IFERROR(
  VLOOKUP($A14, '312'!$B$14:$I$24, 8, FALSE),
  0
)</f>
        <v>3</v>
      </c>
      <c r="E14" s="11">
        <f>IFERROR(
  VLOOKUP($A14, '412'!$B$14:$I$24, 8, FALSE),
  0
)</f>
        <v>5</v>
      </c>
      <c r="F14" s="11">
        <f>IFERROR(
  VLOOKUP($A14, '11'!$B$14:$I$24, 8, FALSE),
  0
)</f>
        <v>3</v>
      </c>
      <c r="G14" s="11">
        <f>IFERROR(
  VLOOKUP($A14, '21'!$B$14:$I$24, 8, FALSE),
  0
)</f>
        <v>7</v>
      </c>
      <c r="H14" s="11">
        <f>IFERROR(
  VLOOKUP($A14, '31'!$B$14:$I$24, 8, FALSE),
  0
)</f>
        <v>7</v>
      </c>
      <c r="I14" s="11">
        <f>IFERROR(
  VLOOKUP($A14, '41'!$B$14:$I$24, 8, FALSE),
  0
)</f>
        <v>7</v>
      </c>
      <c r="J14" s="11">
        <f>IFERROR(
  VLOOKUP($A14, '12'!$B$14:$I$24, 8, FALSE),
  0
)</f>
        <v>4</v>
      </c>
      <c r="K14" s="12">
        <f t="shared" si="1"/>
        <v>45</v>
      </c>
      <c r="P14" s="13"/>
    </row>
    <row r="15">
      <c r="A15" s="10" t="s">
        <v>15</v>
      </c>
      <c r="B15" s="11">
        <f>IFERROR(
  VLOOKUP($A15, '112'!$B$14:$I$24, 8, FALSE),
  0
)</f>
        <v>3</v>
      </c>
      <c r="C15" s="11">
        <f>IFERROR(
  VLOOKUP($A15, '212'!$B$14:$I$24, 8, FALSE),
  0
)</f>
        <v>12</v>
      </c>
      <c r="D15" s="11">
        <f>IFERROR(
  VLOOKUP($A15, '312'!$B$14:$I$24, 8, FALSE),
  0
)</f>
        <v>2</v>
      </c>
      <c r="E15" s="11">
        <f>IFERROR(
  VLOOKUP($A15, '412'!$B$14:$I$24, 8, FALSE),
  0
)</f>
        <v>6</v>
      </c>
      <c r="F15" s="11">
        <f>IFERROR(
  VLOOKUP($A15, '11'!$B$14:$I$24, 8, FALSE),
  0
)</f>
        <v>4</v>
      </c>
      <c r="G15" s="11">
        <f>IFERROR(
  VLOOKUP($A15, '21'!$B$14:$I$24, 8, FALSE),
  0
)</f>
        <v>2</v>
      </c>
      <c r="H15" s="11">
        <f>IFERROR(
  VLOOKUP($A15, '31'!$B$14:$I$24, 8, FALSE),
  0
)</f>
        <v>2</v>
      </c>
      <c r="I15" s="11">
        <f>IFERROR(
  VLOOKUP($A15, '41'!$B$14:$I$24, 8, FALSE),
  0
)</f>
        <v>3</v>
      </c>
      <c r="J15" s="11">
        <f>IFERROR(
  VLOOKUP($A15, '12'!$B$14:$I$24, 8, FALSE),
  0
)</f>
        <v>3</v>
      </c>
      <c r="K15" s="12">
        <f t="shared" si="1"/>
        <v>37</v>
      </c>
      <c r="P15" s="13"/>
    </row>
    <row r="16">
      <c r="A16" s="10" t="s">
        <v>16</v>
      </c>
      <c r="B16" s="11">
        <f>IFERROR(
  VLOOKUP($A16, '112'!$B$14:$I$24, 8, FALSE),
  0
)</f>
        <v>8</v>
      </c>
      <c r="C16" s="11">
        <f>IFERROR(
  VLOOKUP($A16, '212'!$B$14:$I$24, 8, FALSE),
  0
)</f>
        <v>2</v>
      </c>
      <c r="D16" s="11">
        <f>IFERROR(
  VLOOKUP($A16, '312'!$B$14:$I$24, 8, FALSE),
  0
)</f>
        <v>3</v>
      </c>
      <c r="E16" s="11">
        <f>IFERROR(
  VLOOKUP($A16, '412'!$B$14:$I$24, 8, FALSE),
  0
)</f>
        <v>6</v>
      </c>
      <c r="F16" s="11">
        <f>IFERROR(
  VLOOKUP($A16, '11'!$B$14:$I$24, 8, FALSE),
  0
)</f>
        <v>7</v>
      </c>
      <c r="G16" s="11">
        <f>IFERROR(
  VLOOKUP($A16, '21'!$B$14:$I$24, 8, FALSE),
  0
)</f>
        <v>7</v>
      </c>
      <c r="H16" s="11">
        <f>IFERROR(
  VLOOKUP($A16, '31'!$B$14:$I$24, 8, FALSE),
  0
)</f>
        <v>5</v>
      </c>
      <c r="I16" s="11">
        <f>IFERROR(
  VLOOKUP($A16, '41'!$B$14:$I$24, 8, FALSE),
  0
)</f>
        <v>10</v>
      </c>
      <c r="J16" s="11">
        <f>IFERROR(
  VLOOKUP($A16, '12'!$B$14:$I$24, 8, FALSE),
  0
)</f>
        <v>3</v>
      </c>
      <c r="K16" s="12">
        <f t="shared" si="1"/>
        <v>51</v>
      </c>
      <c r="P16" s="13"/>
    </row>
    <row r="17">
      <c r="A17" s="10" t="s">
        <v>17</v>
      </c>
      <c r="B17" s="11">
        <f>IFERROR(
  VLOOKUP($A17, '112'!$B$14:$I$24, 8, FALSE),
  0
)</f>
        <v>4</v>
      </c>
      <c r="C17" s="11">
        <f>IFERROR(
  VLOOKUP($A17, '212'!$B$14:$I$24, 8, FALSE),
  0
)</f>
        <v>8</v>
      </c>
      <c r="D17" s="11">
        <f>IFERROR(
  VLOOKUP($A17, '312'!$B$14:$I$24, 8, FALSE),
  0
)</f>
        <v>3</v>
      </c>
      <c r="E17" s="11">
        <f>IFERROR(
  VLOOKUP($A17, '412'!$B$14:$I$24, 8, FALSE),
  0
)</f>
        <v>8</v>
      </c>
      <c r="F17" s="11">
        <f>IFERROR(
  VLOOKUP($A17, '11'!$B$14:$I$24, 8, FALSE),
  0
)</f>
        <v>5</v>
      </c>
      <c r="G17" s="11">
        <f>IFERROR(
  VLOOKUP($A17, '21'!$B$14:$I$24, 8, FALSE),
  0
)</f>
        <v>9</v>
      </c>
      <c r="H17" s="11">
        <f>IFERROR(
  VLOOKUP($A17, '31'!$B$14:$I$24, 8, FALSE),
  0
)</f>
        <v>2</v>
      </c>
      <c r="I17" s="11">
        <f>IFERROR(
  VLOOKUP($A17, '41'!$B$14:$I$24, 8, FALSE),
  0
)</f>
        <v>4</v>
      </c>
      <c r="J17" s="11">
        <f>IFERROR(
  VLOOKUP($A17, '12'!$B$14:$I$24, 8, FALSE),
  0
)</f>
        <v>11</v>
      </c>
      <c r="K17" s="12">
        <f t="shared" si="1"/>
        <v>54</v>
      </c>
      <c r="P17" s="13"/>
    </row>
    <row r="18">
      <c r="A18" s="10" t="s">
        <v>18</v>
      </c>
      <c r="B18" s="11">
        <f>IFERROR(
  VLOOKUP($A18, '112'!$B$14:$I$24, 8, FALSE),
  0
)</f>
        <v>5</v>
      </c>
      <c r="C18" s="11">
        <f>IFERROR(
  VLOOKUP($A18, '212'!$B$14:$I$24, 8, FALSE),
  0
)</f>
        <v>4</v>
      </c>
      <c r="D18" s="11">
        <f>IFERROR(
  VLOOKUP($A18, '312'!$B$14:$I$24, 8, FALSE),
  0
)</f>
        <v>8</v>
      </c>
      <c r="E18" s="11">
        <f>IFERROR(
  VLOOKUP($A18, '412'!$B$14:$I$24, 8, FALSE),
  0
)</f>
        <v>3</v>
      </c>
      <c r="F18" s="11">
        <f>IFERROR(
  VLOOKUP($A18, '11'!$B$14:$I$24, 8, FALSE),
  0
)</f>
        <v>3</v>
      </c>
      <c r="G18" s="11">
        <f>IFERROR(
  VLOOKUP($A18, '21'!$B$14:$I$24, 8, FALSE),
  0
)</f>
        <v>6</v>
      </c>
      <c r="H18" s="11">
        <f>IFERROR(
  VLOOKUP($A18, '31'!$B$14:$I$24, 8, FALSE),
  0
)</f>
        <v>5</v>
      </c>
      <c r="I18" s="11">
        <f>IFERROR(
  VLOOKUP($A18, '41'!$B$14:$I$24, 8, FALSE),
  0
)</f>
        <v>5</v>
      </c>
      <c r="J18" s="11">
        <f>IFERROR(
  VLOOKUP($A18, '12'!$B$14:$I$24, 8, FALSE),
  0
)</f>
        <v>4</v>
      </c>
      <c r="K18" s="12">
        <f t="shared" si="1"/>
        <v>43</v>
      </c>
      <c r="P18" s="13"/>
    </row>
    <row r="19">
      <c r="A19" s="10" t="s">
        <v>19</v>
      </c>
      <c r="B19" s="11">
        <f>IFERROR(
  VLOOKUP($A19, '112'!$B$14:$I$24, 8, FALSE),
  0
)</f>
        <v>7</v>
      </c>
      <c r="C19" s="11">
        <f>IFERROR(
  VLOOKUP($A19, '212'!$B$14:$I$24, 8, FALSE),
  0
)</f>
        <v>7</v>
      </c>
      <c r="D19" s="11">
        <f>IFERROR(
  VLOOKUP($A19, '312'!$B$14:$I$24, 8, FALSE),
  0
)</f>
        <v>4</v>
      </c>
      <c r="E19" s="11">
        <f>IFERROR(
  VLOOKUP($A19, '412'!$B$14:$I$24, 8, FALSE),
  0
)</f>
        <v>11</v>
      </c>
      <c r="F19" s="11">
        <f>IFERROR(
  VLOOKUP($A19, '11'!$B$14:$I$24, 8, FALSE),
  0
)</f>
        <v>6</v>
      </c>
      <c r="G19" s="11">
        <f>IFERROR(
  VLOOKUP($A19, '21'!$B$14:$I$24, 8, FALSE),
  0
)</f>
        <v>10</v>
      </c>
      <c r="H19" s="11">
        <f>IFERROR(
  VLOOKUP($A19, '31'!$B$14:$I$24, 8, FALSE),
  0
)</f>
        <v>4</v>
      </c>
      <c r="I19" s="11">
        <f>IFERROR(
  VLOOKUP($A19, '41'!$B$14:$I$24, 8, FALSE),
  0
)</f>
        <v>8</v>
      </c>
      <c r="J19" s="11">
        <f>IFERROR(
  VLOOKUP($A19, '12'!$B$14:$I$24, 8, FALSE),
  0
)</f>
        <v>7</v>
      </c>
      <c r="K19" s="12">
        <f t="shared" si="1"/>
        <v>64</v>
      </c>
      <c r="P19" s="13"/>
    </row>
    <row r="23">
      <c r="A23" s="14" t="s">
        <v>20</v>
      </c>
      <c r="B23" s="15"/>
    </row>
    <row r="24">
      <c r="A24" s="16" t="s">
        <v>21</v>
      </c>
      <c r="B24" s="16" t="s">
        <v>8</v>
      </c>
    </row>
    <row r="25">
      <c r="A25" s="17" t="str">
        <f>IFERROR(__xludf.DUMMYFUNCTION("SORT(
  FILTER({A9:A19,K9:K19}, K9:K19&lt;&gt;""""),
  2,
  FALSE
)"),"Vicky")</f>
        <v>Vicky</v>
      </c>
      <c r="B25" s="17">
        <f>IFERROR(__xludf.DUMMYFUNCTION("""COMPUTED_VALUE"""),64.0)</f>
        <v>64</v>
      </c>
      <c r="C25" s="18" t="str">
        <f t="shared" ref="C25:C35" si="2">LET(
  fila, MATCH($A25, $A$9:$A$19, 0),
  col_total, MATCH("Total", $B$8:$AB$8, 0),
  ult_sem, col_total-1,
  actual, INDEX($B$9:$AB$19, fila, ult_sem),
  anterior, INDEX($B$9:$AB$19, fila, ult_sem-1),
  IF(actual&gt;anterior, "🔼", IF(actual&lt;anterior, "🔻", ""))
)
</f>
        <v>🔻</v>
      </c>
    </row>
    <row r="26">
      <c r="A26" s="17" t="str">
        <f>IFERROR(__xludf.DUMMYFUNCTION("""COMPUTED_VALUE"""),"Nico")</f>
        <v>Nico</v>
      </c>
      <c r="B26" s="17">
        <f>IFERROR(__xludf.DUMMYFUNCTION("""COMPUTED_VALUE"""),54.0)</f>
        <v>54</v>
      </c>
      <c r="C26" s="18" t="str">
        <f t="shared" si="2"/>
        <v>🔼</v>
      </c>
    </row>
    <row r="27">
      <c r="A27" s="17" t="str">
        <f>IFERROR(__xludf.DUMMYFUNCTION("""COMPUTED_VALUE"""),"Chiqui")</f>
        <v>Chiqui</v>
      </c>
      <c r="B27" s="17">
        <f>IFERROR(__xludf.DUMMYFUNCTION("""COMPUTED_VALUE"""),51.0)</f>
        <v>51</v>
      </c>
      <c r="C27" s="18" t="str">
        <f t="shared" si="2"/>
        <v>🔼</v>
      </c>
    </row>
    <row r="28">
      <c r="A28" s="17" t="str">
        <f>IFERROR(__xludf.DUMMYFUNCTION("""COMPUTED_VALUE"""),"Maru M")</f>
        <v>Maru M</v>
      </c>
      <c r="B28" s="17">
        <f>IFERROR(__xludf.DUMMYFUNCTION("""COMPUTED_VALUE"""),51.0)</f>
        <v>51</v>
      </c>
      <c r="C28" s="18" t="str">
        <f t="shared" si="2"/>
        <v>🔻</v>
      </c>
    </row>
    <row r="29">
      <c r="A29" s="17" t="str">
        <f>IFERROR(__xludf.DUMMYFUNCTION("""COMPUTED_VALUE"""),"Facu")</f>
        <v>Facu</v>
      </c>
      <c r="B29" s="17">
        <f>IFERROR(__xludf.DUMMYFUNCTION("""COMPUTED_VALUE"""),47.0)</f>
        <v>47</v>
      </c>
      <c r="C29" s="18" t="str">
        <f t="shared" si="2"/>
        <v>🔼</v>
      </c>
    </row>
    <row r="30">
      <c r="A30" s="17" t="str">
        <f>IFERROR(__xludf.DUMMYFUNCTION("""COMPUTED_VALUE"""),"Lu")</f>
        <v>Lu</v>
      </c>
      <c r="B30" s="17">
        <f>IFERROR(__xludf.DUMMYFUNCTION("""COMPUTED_VALUE"""),45.0)</f>
        <v>45</v>
      </c>
      <c r="C30" s="18" t="str">
        <f t="shared" si="2"/>
        <v>🔻</v>
      </c>
    </row>
    <row r="31">
      <c r="A31" s="17" t="str">
        <f>IFERROR(__xludf.DUMMYFUNCTION("""COMPUTED_VALUE"""),"Samy")</f>
        <v>Samy</v>
      </c>
      <c r="B31" s="17">
        <f>IFERROR(__xludf.DUMMYFUNCTION("""COMPUTED_VALUE"""),43.0)</f>
        <v>43</v>
      </c>
      <c r="C31" s="18" t="str">
        <f t="shared" si="2"/>
        <v>🔻</v>
      </c>
    </row>
    <row r="32">
      <c r="A32" s="17" t="str">
        <f>IFERROR(__xludf.DUMMYFUNCTION("""COMPUTED_VALUE"""),"Gio")</f>
        <v>Gio</v>
      </c>
      <c r="B32" s="17">
        <f>IFERROR(__xludf.DUMMYFUNCTION("""COMPUTED_VALUE"""),41.0)</f>
        <v>41</v>
      </c>
      <c r="C32" s="18" t="str">
        <f t="shared" si="2"/>
        <v>🔻</v>
      </c>
    </row>
    <row r="33">
      <c r="A33" s="17" t="str">
        <f>IFERROR(__xludf.DUMMYFUNCTION("""COMPUTED_VALUE"""),"Estela")</f>
        <v>Estela</v>
      </c>
      <c r="B33" s="17">
        <f>IFERROR(__xludf.DUMMYFUNCTION("""COMPUTED_VALUE"""),37.0)</f>
        <v>37</v>
      </c>
      <c r="C33" s="18" t="str">
        <f t="shared" si="2"/>
        <v>🔼</v>
      </c>
    </row>
    <row r="34">
      <c r="A34" s="17" t="str">
        <f>IFERROR(__xludf.DUMMYFUNCTION("""COMPUTED_VALUE"""),"Maru C")</f>
        <v>Maru C</v>
      </c>
      <c r="B34" s="17">
        <f>IFERROR(__xludf.DUMMYFUNCTION("""COMPUTED_VALUE"""),37.0)</f>
        <v>37</v>
      </c>
      <c r="C34" s="18" t="str">
        <f t="shared" si="2"/>
        <v/>
      </c>
    </row>
    <row r="35">
      <c r="A35" s="17" t="str">
        <f>IFERROR(__xludf.DUMMYFUNCTION("""COMPUTED_VALUE"""),"Abi")</f>
        <v>Abi</v>
      </c>
      <c r="B35" s="17">
        <f>IFERROR(__xludf.DUMMYFUNCTION("""COMPUTED_VALUE"""),33.0)</f>
        <v>33</v>
      </c>
      <c r="C35" s="18" t="str">
        <f t="shared" si="2"/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23</v>
      </c>
    </row>
    <row r="2">
      <c r="A2" s="9" t="s">
        <v>24</v>
      </c>
      <c r="B2" s="19">
        <v>46000.916666666664</v>
      </c>
    </row>
    <row r="3">
      <c r="A3" s="9" t="s">
        <v>25</v>
      </c>
      <c r="B3" s="20">
        <v>46007.916666666664</v>
      </c>
    </row>
    <row r="4">
      <c r="A4" s="9" t="s">
        <v>26</v>
      </c>
      <c r="B4" s="21">
        <f>(B3-B2)*24</f>
        <v>168</v>
      </c>
    </row>
    <row r="5">
      <c r="A5" s="9" t="s">
        <v>27</v>
      </c>
      <c r="B5" s="21">
        <f>150/B4</f>
        <v>0.8928571429</v>
      </c>
    </row>
    <row r="6">
      <c r="A6" s="9" t="s">
        <v>28</v>
      </c>
      <c r="B6" s="3">
        <f>(150*3)/10</f>
        <v>45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33</v>
      </c>
      <c r="B9" s="3">
        <v>1.0</v>
      </c>
      <c r="C9" s="20">
        <v>46001.35833333333</v>
      </c>
      <c r="D9" s="24">
        <f t="shared" ref="D9:D11" si="1">(C9-$B$2)*24</f>
        <v>10.6</v>
      </c>
      <c r="E9" s="25">
        <f>'Tabla anual'!B2</f>
        <v>4</v>
      </c>
    </row>
    <row r="10">
      <c r="A10" s="3" t="s">
        <v>34</v>
      </c>
      <c r="B10" s="3">
        <v>2.0</v>
      </c>
      <c r="C10" s="20">
        <v>46001.58611111111</v>
      </c>
      <c r="D10" s="24">
        <f t="shared" si="1"/>
        <v>16.06666667</v>
      </c>
      <c r="E10" s="25">
        <f>'Tabla anual'!B3</f>
        <v>3</v>
      </c>
    </row>
    <row r="11">
      <c r="A11" s="3" t="s">
        <v>35</v>
      </c>
      <c r="B11" s="3">
        <v>3.0</v>
      </c>
      <c r="C11" s="20">
        <v>46001.638194444444</v>
      </c>
      <c r="D11" s="24">
        <f t="shared" si="1"/>
        <v>17.31666667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29" t="s">
        <v>12</v>
      </c>
      <c r="C14" s="29" t="s">
        <v>33</v>
      </c>
      <c r="D14" s="29">
        <v>93.0</v>
      </c>
      <c r="E14" s="30">
        <f t="shared" ref="E14:E24" si="2">IFERROR(
  FLOOR(
    (D14 / VLOOKUP(C14, $A$9:$E$11, 4, FALSE)) / $B$5
  ,1),
  0
)</f>
        <v>9</v>
      </c>
      <c r="F14" s="31">
        <f t="shared" ref="F14:F23" si="3">VLOOKUP(C14, $A$9:$E$11, 5, FALSE)</f>
        <v>4</v>
      </c>
      <c r="G14" s="31">
        <f>IF(
  A14&lt;=3,
  VLOOKUP(A14, 'Tabla anual'!$C$2:$D$4, 2, FALSE),
  IF(D14&gt;=$B$6, 1, 0)
)</f>
        <v>4</v>
      </c>
      <c r="H14" s="31">
        <f t="array" ref="H14">IF(
  E14=0,
  0,
  IF(
    _xlfn.RANK.EQ(E14,$E$14:$E$23,0)&lt;=3,
    INDEX('Tabla anual'!$F$2:$F$4, _xlfn.RANK.EQ(E14,$E$14:$E$23,0)),
    IF(E14&gt;='Tabla anual'!$F$5, 1, 0)
  )
)</f>
        <v>4</v>
      </c>
      <c r="I14" s="32">
        <f t="shared" ref="I14:I24" si="4">sum(F14:H14)</f>
        <v>12</v>
      </c>
    </row>
    <row r="15">
      <c r="A15" s="33">
        <v>2.0</v>
      </c>
      <c r="B15" s="33" t="s">
        <v>19</v>
      </c>
      <c r="C15" s="33" t="s">
        <v>35</v>
      </c>
      <c r="D15" s="33">
        <v>62.0</v>
      </c>
      <c r="E15" s="30">
        <f t="shared" si="2"/>
        <v>4</v>
      </c>
      <c r="F15" s="31">
        <f t="shared" si="3"/>
        <v>2</v>
      </c>
      <c r="G15" s="31">
        <f>IF(
  A15&lt;=3,
  VLOOKUP(A15, 'Tabla anual'!$C$2:$D$4, 2, FALSE),
  IF(D15&gt;=$B$6, 1, 0)
)</f>
        <v>3</v>
      </c>
      <c r="H15" s="31">
        <f t="array" ref="H15">IF(
  E15=0,
  0,
  IF(
    _xlfn.RANK.EQ(E15,$E$14:$E$23,0)&lt;=3,
    INDEX('Tabla anual'!$F$2:$F$4, _xlfn.RANK.EQ(E15,$E$14:$E$23,0)),
    IF(E15&gt;='Tabla anual'!$F$5, 1, 0)
  )
)</f>
        <v>2</v>
      </c>
      <c r="I15" s="32">
        <f t="shared" si="4"/>
        <v>7</v>
      </c>
    </row>
    <row r="16">
      <c r="A16" s="34">
        <v>3.0</v>
      </c>
      <c r="B16" s="34" t="s">
        <v>14</v>
      </c>
      <c r="C16" s="34" t="s">
        <v>34</v>
      </c>
      <c r="D16" s="34">
        <v>57.0</v>
      </c>
      <c r="E16" s="35">
        <f t="shared" si="2"/>
        <v>3</v>
      </c>
      <c r="F16" s="36">
        <f t="shared" si="3"/>
        <v>3</v>
      </c>
      <c r="G16" s="36">
        <f>IF(
  A16&lt;=3,
  VLOOKUP(A16, 'Tabla anual'!$C$2:$D$4, 2, FALSE),
  IF(D16&gt;=$B$6, 1, 0)
)</f>
        <v>2</v>
      </c>
      <c r="H16" s="36">
        <f t="array" ref="H16">IF(
  E16=0,
  0,
  IF(
    _xlfn.RANK.EQ(E16,$E$14:$E$23,0)&lt;=3,
    INDEX('Tabla anual'!$F$2:$F$4, _xlfn.RANK.EQ(E16,$E$14:$E$23,0)),
    IF(E16&gt;='Tabla anual'!$F$5, 1, 0)
  )
)</f>
        <v>1</v>
      </c>
      <c r="I16" s="32">
        <f t="shared" si="4"/>
        <v>6</v>
      </c>
    </row>
    <row r="17">
      <c r="A17" s="37">
        <v>4.0</v>
      </c>
      <c r="B17" s="37" t="s">
        <v>10</v>
      </c>
      <c r="C17" s="37" t="s">
        <v>35</v>
      </c>
      <c r="D17" s="37">
        <v>56.0</v>
      </c>
      <c r="E17" s="35">
        <f t="shared" si="2"/>
        <v>3</v>
      </c>
      <c r="F17" s="11">
        <f t="shared" si="3"/>
        <v>2</v>
      </c>
      <c r="G17" s="11">
        <f>IF(
  A17&lt;=3,
  VLOOKUP(A17, 'Tabla anual'!$C$2:$D$4, 2, FALSE),
  IF(D17&gt;=$B$6, 1, 0)
)</f>
        <v>1</v>
      </c>
      <c r="H17" s="11">
        <f t="array" ref="H17">IF(
  E17=0,
  0,
  IF(
    _xlfn.RANK.EQ(E17,$E$14:$E$23,0)&lt;=3,
    INDEX('Tabla anual'!$F$2:$F$4, _xlfn.RANK.EQ(E17,$E$14:$E$23,0)),
    IF(E17&gt;='Tabla anual'!$F$5, 1, 0)
  )
)</f>
        <v>1</v>
      </c>
      <c r="I17" s="32">
        <f t="shared" si="4"/>
        <v>4</v>
      </c>
    </row>
    <row r="18">
      <c r="A18" s="33">
        <v>5.0</v>
      </c>
      <c r="B18" s="33" t="s">
        <v>16</v>
      </c>
      <c r="C18" s="33" t="s">
        <v>33</v>
      </c>
      <c r="D18" s="33">
        <v>53.0</v>
      </c>
      <c r="E18" s="30">
        <f t="shared" si="2"/>
        <v>5</v>
      </c>
      <c r="F18" s="31">
        <f t="shared" si="3"/>
        <v>4</v>
      </c>
      <c r="G18" s="31">
        <f>IF(
  A18&lt;=3,
  VLOOKUP(A18, 'Tabla anual'!$C$2:$D$4, 2, FALSE),
  IF(D18&gt;=$B$6, 1, 0)
)</f>
        <v>1</v>
      </c>
      <c r="H18" s="31">
        <f t="array" ref="H18">IF(
  E18=0,
  0,
  IF(
    _xlfn.RANK.EQ(E18,$E$14:$E$23,0)&lt;=3,
    INDEX('Tabla anual'!$F$2:$F$4, _xlfn.RANK.EQ(E18,$E$14:$E$23,0)),
    IF(E18&gt;='Tabla anual'!$F$5, 1, 0)
  )
)</f>
        <v>3</v>
      </c>
      <c r="I18" s="32">
        <f t="shared" si="4"/>
        <v>8</v>
      </c>
    </row>
    <row r="19">
      <c r="A19" s="37">
        <v>6.0</v>
      </c>
      <c r="B19" s="37" t="s">
        <v>18</v>
      </c>
      <c r="C19" s="37" t="s">
        <v>34</v>
      </c>
      <c r="D19" s="37">
        <v>49.0</v>
      </c>
      <c r="E19" s="35">
        <f t="shared" si="2"/>
        <v>3</v>
      </c>
      <c r="F19" s="11">
        <f t="shared" si="3"/>
        <v>3</v>
      </c>
      <c r="G19" s="11">
        <f>IF(
  A19&lt;=3,
  VLOOKUP(A19, 'Tabla anual'!$C$2:$D$4, 2, FALSE),
  IF(D19&gt;=$B$6, 1, 0)
)</f>
        <v>1</v>
      </c>
      <c r="H19" s="11">
        <f t="array" ref="H19">IF(
  E19=0,
  0,
  IF(
    _xlfn.RANK.EQ(E19,$E$14:$E$23,0)&lt;=3,
    INDEX('Tabla anual'!$F$2:$F$4, _xlfn.RANK.EQ(E19,$E$14:$E$23,0)),
    IF(E19&gt;='Tabla anual'!$F$5, 1, 0)
  )
)</f>
        <v>1</v>
      </c>
      <c r="I19" s="32">
        <f t="shared" si="4"/>
        <v>5</v>
      </c>
    </row>
    <row r="20">
      <c r="A20" s="37">
        <v>7.0</v>
      </c>
      <c r="B20" s="37" t="s">
        <v>13</v>
      </c>
      <c r="C20" s="37" t="s">
        <v>34</v>
      </c>
      <c r="D20" s="37">
        <v>44.0</v>
      </c>
      <c r="E20" s="35">
        <f t="shared" si="2"/>
        <v>3</v>
      </c>
      <c r="F20" s="11">
        <f t="shared" si="3"/>
        <v>3</v>
      </c>
      <c r="G20" s="11">
        <f>IF(
  A20&lt;=3,
  VLOOKUP(A20, 'Tabla anual'!$C$2:$D$4, 2, FALSE),
  IF(D20&gt;=$B$6, 1, 0)
)</f>
        <v>0</v>
      </c>
      <c r="H20" s="11">
        <f t="array" ref="H20">IF(
  E20=0,
  0,
  IF(
    _xlfn.RANK.EQ(E20,$E$14:$E$23,0)&lt;=3,
    INDEX('Tabla anual'!$F$2:$F$4, _xlfn.RANK.EQ(E20,$E$14:$E$23,0)),
    IF(E20&gt;='Tabla anual'!$F$5, 1, 0)
  )
)</f>
        <v>1</v>
      </c>
      <c r="I20" s="32">
        <f t="shared" si="4"/>
        <v>4</v>
      </c>
    </row>
    <row r="21">
      <c r="A21" s="37">
        <v>8.0</v>
      </c>
      <c r="B21" s="37" t="s">
        <v>15</v>
      </c>
      <c r="C21" s="37" t="s">
        <v>35</v>
      </c>
      <c r="D21" s="37">
        <v>26.0</v>
      </c>
      <c r="E21" s="35">
        <f t="shared" si="2"/>
        <v>1</v>
      </c>
      <c r="F21" s="11">
        <f t="shared" si="3"/>
        <v>2</v>
      </c>
      <c r="G21" s="11">
        <f>IF(
  A21&lt;=3,
  VLOOKUP(A21, 'Tabla anual'!$C$2:$D$4, 2, FALSE),
  IF(D21&gt;=$B$6, 1, 0)
)</f>
        <v>0</v>
      </c>
      <c r="H21" s="11">
        <f t="array" ref="H21">IF(
  E21=0,
  0,
  IF(
    _xlfn.RANK.EQ(E21,$E$14:$E$23,0)&lt;=3,
    INDEX('Tabla anual'!$F$2:$F$4, _xlfn.RANK.EQ(E21,$E$14:$E$23,0)),
    IF(E21&gt;='Tabla anual'!$F$5, 1, 0)
  )
)</f>
        <v>1</v>
      </c>
      <c r="I21" s="32">
        <f t="shared" si="4"/>
        <v>3</v>
      </c>
    </row>
    <row r="22">
      <c r="A22" s="37">
        <v>9.0</v>
      </c>
      <c r="B22" s="37" t="s">
        <v>11</v>
      </c>
      <c r="C22" s="37" t="s">
        <v>35</v>
      </c>
      <c r="D22" s="37">
        <v>6.0</v>
      </c>
      <c r="E22" s="35">
        <f t="shared" si="2"/>
        <v>0</v>
      </c>
      <c r="F22" s="11">
        <f t="shared" si="3"/>
        <v>2</v>
      </c>
      <c r="G22" s="11">
        <f>IF(
  A22&lt;=3,
  VLOOKUP(A22, 'Tabla anual'!$C$2:$D$4, 2, FALSE),
  IF(D22&gt;=$B$6, 1, 0)
)</f>
        <v>0</v>
      </c>
      <c r="H22" s="11">
        <f t="array" ref="H22">IF(
  E22=0,
  0,
  IF(
    _xlfn.RANK.EQ(E22,$E$14:$E$23,0)&lt;=3,
    INDEX('Tabla anual'!$F$2:$F$4, _xlfn.RANK.EQ(E22,$E$14:$E$23,0)),
    IF(E22&gt;='Tabla anual'!$F$5, 1, 0)
  )
)</f>
        <v>0</v>
      </c>
      <c r="I22" s="32">
        <f t="shared" si="4"/>
        <v>2</v>
      </c>
    </row>
    <row r="23">
      <c r="A23" s="37">
        <v>10.0</v>
      </c>
      <c r="B23" s="37" t="s">
        <v>17</v>
      </c>
      <c r="C23" s="37" t="s">
        <v>33</v>
      </c>
      <c r="D23" s="37">
        <v>4.0</v>
      </c>
      <c r="E23" s="35">
        <f t="shared" si="2"/>
        <v>0</v>
      </c>
      <c r="F23" s="11">
        <f t="shared" si="3"/>
        <v>4</v>
      </c>
      <c r="G23" s="11">
        <f>IF(
  A23&lt;=3,
  VLOOKUP(A23, 'Tabla anual'!$C$2:$D$4, 2, FALSE),
  IF(D23&gt;=$B$6, 1, 0)
)</f>
        <v>0</v>
      </c>
      <c r="H23" s="11">
        <f t="array" ref="H23">IF(
  E23=0,
  0,
  IF(
    _xlfn.RANK.EQ(E23,$E$14:$E$23,0)&lt;=3,
    INDEX('Tabla anual'!$F$2:$F$4, _xlfn.RANK.EQ(E23,$E$14:$E$23,0)),
    IF(E23&gt;='Tabla anual'!$F$5, 1, 0)
  )
)</f>
        <v>0</v>
      </c>
      <c r="I23" s="32">
        <f t="shared" si="4"/>
        <v>4</v>
      </c>
    </row>
    <row r="24">
      <c r="A24" s="37">
        <v>11.0</v>
      </c>
      <c r="B24" s="37" t="s">
        <v>9</v>
      </c>
      <c r="C24" s="37"/>
      <c r="D24" s="37">
        <v>0.0</v>
      </c>
      <c r="E24" s="35">
        <f t="shared" si="2"/>
        <v>0</v>
      </c>
      <c r="F24" s="10">
        <v>0.0</v>
      </c>
      <c r="G24" s="11">
        <f>IF(
  A24&lt;=3,
  VLOOKUP(A24, 'Tabla anual'!$C$2:$D$4, 2, FALSE),
  IF(D24&gt;=$B$6, 1, 0)
)</f>
        <v>0</v>
      </c>
      <c r="H24" s="11">
        <f t="array" ref="H24">IF(
  E24=0,
  0,
  IF(
    _xlfn.RANK.EQ(E24,$E$14:$E$23,0)&lt;=3,
    INDEX('Tabla anual'!$F$2:$F$4, _xlfn.RANK.EQ(E24,$E$14:$E$23,0)),
    IF(E24&gt;='Tabla anual'!$F$5, 1, 0)
  )
)</f>
        <v>0</v>
      </c>
      <c r="I24" s="32">
        <f t="shared" si="4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43</v>
      </c>
    </row>
    <row r="2">
      <c r="A2" s="9" t="s">
        <v>24</v>
      </c>
      <c r="B2" s="19">
        <v>46006.916666666664</v>
      </c>
    </row>
    <row r="3">
      <c r="A3" s="9" t="s">
        <v>25</v>
      </c>
      <c r="B3" s="20">
        <v>46014.916666666664</v>
      </c>
    </row>
    <row r="4">
      <c r="A4" s="9" t="s">
        <v>26</v>
      </c>
      <c r="B4" s="21">
        <f>(B3-B2)*24</f>
        <v>192</v>
      </c>
    </row>
    <row r="5">
      <c r="A5" s="9" t="s">
        <v>44</v>
      </c>
      <c r="B5" s="21">
        <f>75/B4</f>
        <v>0.390625</v>
      </c>
    </row>
    <row r="6">
      <c r="A6" s="9" t="s">
        <v>28</v>
      </c>
      <c r="B6" s="3">
        <f>(25*3)/11</f>
        <v>6.818181818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35</v>
      </c>
      <c r="B9" s="3">
        <v>1.0</v>
      </c>
      <c r="C9" s="20">
        <v>46007.11875</v>
      </c>
      <c r="D9" s="21">
        <f t="shared" ref="D9:D11" si="1">(C9-$B$2)*24</f>
        <v>4.85</v>
      </c>
      <c r="E9" s="25">
        <f>'Tabla anual'!B2</f>
        <v>4</v>
      </c>
    </row>
    <row r="10">
      <c r="A10" s="3" t="s">
        <v>45</v>
      </c>
      <c r="B10" s="3">
        <v>2.0</v>
      </c>
      <c r="C10" s="20">
        <v>46007.45277777778</v>
      </c>
      <c r="D10" s="21">
        <f t="shared" si="1"/>
        <v>12.86666667</v>
      </c>
      <c r="E10" s="25">
        <f>'Tabla anual'!B3</f>
        <v>3</v>
      </c>
    </row>
    <row r="11">
      <c r="A11" s="3" t="s">
        <v>34</v>
      </c>
      <c r="B11" s="3">
        <v>3.0</v>
      </c>
      <c r="C11" s="20">
        <v>46007.55694444444</v>
      </c>
      <c r="D11" s="21">
        <f t="shared" si="1"/>
        <v>15.36666667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29" t="s">
        <v>15</v>
      </c>
      <c r="C14" s="29" t="s">
        <v>35</v>
      </c>
      <c r="D14" s="38">
        <v>16.0</v>
      </c>
      <c r="E14" s="30">
        <f t="shared" ref="E14:E15" si="2">IFERROR(
  FLOOR(
    (D14 / VLOOKUP(C14, $A$9:$E$11, 4, FALSE)) / $B$5
  ,1),
  0
)</f>
        <v>8</v>
      </c>
      <c r="F14" s="31">
        <f t="shared" ref="F14:F24" si="3">VLOOKUP(C14, $A$9:$E$11, 5, FALSE)</f>
        <v>4</v>
      </c>
      <c r="G14" s="31">
        <f>IF(
  A14&lt;=3,
  VLOOKUP(A14, 'Tabla anual'!$C$2:$D$4, 2, FALSE),
  IF(D14&gt;=$B$6, 1, 0)
)</f>
        <v>4</v>
      </c>
      <c r="H14" s="31">
        <f t="array" ref="H14">IF(
  E14=0,
  0,
  IF(
    _xlfn.RANK.EQ(E14,$E$14:$E$24,0)&lt;=3,
    INDEX('Tabla anual'!$F$2:$F$4, _xlfn.RANK.EQ(E14,$E$14:$E$24,0)),
    IF(E14&gt;='Tabla anual'!$F$5, 1, 0)
  )
)</f>
        <v>4</v>
      </c>
      <c r="I14" s="32">
        <f t="shared" ref="I14:I24" si="4">sum(F14:H14)</f>
        <v>12</v>
      </c>
    </row>
    <row r="15">
      <c r="A15" s="33">
        <v>2.0</v>
      </c>
      <c r="B15" s="33" t="s">
        <v>17</v>
      </c>
      <c r="C15" s="33" t="s">
        <v>45</v>
      </c>
      <c r="D15" s="39">
        <v>11.0</v>
      </c>
      <c r="E15" s="30">
        <f t="shared" si="2"/>
        <v>2</v>
      </c>
      <c r="F15" s="31">
        <f t="shared" si="3"/>
        <v>3</v>
      </c>
      <c r="G15" s="31">
        <f>IF(
  A15&lt;=3,
  VLOOKUP(A15, 'Tabla anual'!$C$2:$D$4, 2, FALSE),
  IF(D15&gt;=$B$6, 1, 0)
)</f>
        <v>3</v>
      </c>
      <c r="H15" s="31">
        <f t="array" ref="H15">IF(
  E15=0,
  0,
  IF(
    _xlfn.RANK.EQ(E15,$E$14:$E$23,0)&lt;=3,
    INDEX('Tabla anual'!$F$2:$F$4, _xlfn.RANK.EQ(E15,$E$14:$E$23,0)),
    IF(E15&gt;='Tabla anual'!$F$5, 1, 0)
  )
)</f>
        <v>2</v>
      </c>
      <c r="I15" s="32">
        <f t="shared" si="4"/>
        <v>8</v>
      </c>
    </row>
    <row r="16">
      <c r="A16" s="34">
        <v>3.0</v>
      </c>
      <c r="B16" s="40" t="s">
        <v>13</v>
      </c>
      <c r="C16" s="40" t="s">
        <v>34</v>
      </c>
      <c r="D16" s="41">
        <v>10.0</v>
      </c>
      <c r="E16" s="42">
        <f t="shared" ref="E16:E18" si="5">IFERROR(
  FLOOR(
    (#REF! / VLOOKUP(#REF!, $A$9:$E$11, 4, FALSE)) / $B$5
  ,1),
  0
)</f>
        <v>0</v>
      </c>
      <c r="F16" s="36">
        <f t="shared" si="3"/>
        <v>2</v>
      </c>
      <c r="G16" s="36">
        <f>IF(
  A16&lt;=3,
  VLOOKUP(A16, 'Tabla anual'!$C$2:$D$4, 2, FALSE),
  IF(D16&gt;=$B$6, 1, 0)
)</f>
        <v>2</v>
      </c>
      <c r="H16" s="36">
        <f t="array" ref="H16">IF(
  E16=0,
  0,
  IF(
    _xlfn.RANK.EQ(E16,$E$14:$E$23,0)&lt;=3,
    INDEX('Tabla anual'!$F$2:$F$4, _xlfn.RANK.EQ(E16,$E$14:$E$23,0)),
    IF(E16&gt;='Tabla anual'!$F$5, 1, 0)
  )
)</f>
        <v>0</v>
      </c>
      <c r="I16" s="32">
        <f t="shared" si="4"/>
        <v>4</v>
      </c>
    </row>
    <row r="17">
      <c r="A17" s="37">
        <v>4.0</v>
      </c>
      <c r="B17" s="43" t="s">
        <v>12</v>
      </c>
      <c r="C17" s="43" t="s">
        <v>45</v>
      </c>
      <c r="D17" s="44">
        <v>9.0</v>
      </c>
      <c r="E17" s="42">
        <f t="shared" si="5"/>
        <v>0</v>
      </c>
      <c r="F17" s="36">
        <f t="shared" si="3"/>
        <v>3</v>
      </c>
      <c r="G17" s="36">
        <f>IF(
  A17&lt;=3,
  VLOOKUP(A17, 'Tabla anual'!$C$2:$D$4, 2, FALSE),
  IF(D17&gt;=$B$6, 1, 0)
)</f>
        <v>1</v>
      </c>
      <c r="H17" s="36">
        <f t="array" ref="H17">IF(
  E17=0,
  0,
  IF(
    _xlfn.RANK.EQ(E17,$E$14:$E$23,0)&lt;=3,
    INDEX('Tabla anual'!$F$2:$F$4, _xlfn.RANK.EQ(E17,$E$14:$E$23,0)),
    IF(E17&gt;='Tabla anual'!$F$5, 1, 0)
  )
)</f>
        <v>0</v>
      </c>
      <c r="I17" s="32">
        <f t="shared" si="4"/>
        <v>4</v>
      </c>
    </row>
    <row r="18">
      <c r="A18" s="34">
        <v>5.0</v>
      </c>
      <c r="B18" s="40" t="s">
        <v>14</v>
      </c>
      <c r="C18" s="40" t="s">
        <v>34</v>
      </c>
      <c r="D18" s="41">
        <v>9.0</v>
      </c>
      <c r="E18" s="42">
        <f t="shared" si="5"/>
        <v>0</v>
      </c>
      <c r="F18" s="36">
        <f t="shared" si="3"/>
        <v>2</v>
      </c>
      <c r="G18" s="36">
        <f>IF(
  A18&lt;=3,
  VLOOKUP(A18, 'Tabla anual'!$C$2:$D$4, 2, FALSE),
  IF(D18&gt;=$B$6, 1, 0)
)</f>
        <v>1</v>
      </c>
      <c r="H18" s="36">
        <f t="array" ref="H18">IF(
  E18=0,
  0,
  IF(
    _xlfn.RANK.EQ(E18,$E$14:$E$23,0)&lt;=3,
    INDEX('Tabla anual'!$F$2:$F$4, _xlfn.RANK.EQ(E18,$E$14:$E$23,0)),
    IF(E18&gt;='Tabla anual'!$F$5, 1, 0)
  )
)</f>
        <v>0</v>
      </c>
      <c r="I18" s="32">
        <f t="shared" si="4"/>
        <v>3</v>
      </c>
    </row>
    <row r="19">
      <c r="A19" s="33">
        <v>6.0</v>
      </c>
      <c r="B19" s="45" t="s">
        <v>19</v>
      </c>
      <c r="C19" s="45" t="s">
        <v>35</v>
      </c>
      <c r="D19" s="46">
        <v>6.0</v>
      </c>
      <c r="E19" s="30">
        <f t="shared" ref="E19:E20" si="6">IFERROR(
  FLOOR(
    (D19 / VLOOKUP(C19, $A$9:$E$11, 4, FALSE)) / $B$5
  ,1),
  0
)</f>
        <v>3</v>
      </c>
      <c r="F19" s="31">
        <f t="shared" si="3"/>
        <v>4</v>
      </c>
      <c r="G19" s="31">
        <f>IF(
  A19&lt;=3,
  VLOOKUP(A19, 'Tabla anual'!$C$2:$D$4, 2, FALSE),
  IF(D19&gt;=$B$6, 1, 0)
)</f>
        <v>0</v>
      </c>
      <c r="H19" s="31">
        <f t="array" ref="H19">IF(
  E19=0,
  0,
  IF(
    _xlfn.RANK.EQ(E19,$E$14:$E$23,0)&lt;=3,
    INDEX('Tabla anual'!$F$2:$F$4, _xlfn.RANK.EQ(E19,$E$14:$E$23,0)),
    IF(E19&gt;='Tabla anual'!$F$5, 1, 0)
  )
)</f>
        <v>3</v>
      </c>
      <c r="I19" s="32">
        <f t="shared" si="4"/>
        <v>7</v>
      </c>
    </row>
    <row r="20">
      <c r="A20" s="37">
        <v>7.0</v>
      </c>
      <c r="B20" s="47" t="s">
        <v>16</v>
      </c>
      <c r="C20" s="47" t="s">
        <v>34</v>
      </c>
      <c r="D20" s="48">
        <v>6.0</v>
      </c>
      <c r="E20" s="42">
        <f t="shared" si="6"/>
        <v>0</v>
      </c>
      <c r="F20" s="36">
        <f t="shared" si="3"/>
        <v>2</v>
      </c>
      <c r="G20" s="36">
        <f>IF(
  A20&lt;=3,
  VLOOKUP(A20, 'Tabla anual'!$C$2:$D$4, 2, FALSE),
  IF(D20&gt;=$B$6, 1, 0)
)</f>
        <v>0</v>
      </c>
      <c r="H20" s="36">
        <f t="array" ref="H20">IF(
  E20=0,
  0,
  IF(
    _xlfn.RANK.EQ(E20,$E$14:$E$23,0)&lt;=3,
    INDEX('Tabla anual'!$F$2:$F$4, _xlfn.RANK.EQ(E20,$E$14:$E$23,0)),
    IF(E20&gt;='Tabla anual'!$F$5, 1, 0)
  )
)</f>
        <v>0</v>
      </c>
      <c r="I20" s="32">
        <f t="shared" si="4"/>
        <v>2</v>
      </c>
    </row>
    <row r="21">
      <c r="A21" s="37">
        <v>8.0</v>
      </c>
      <c r="B21" s="43" t="s">
        <v>18</v>
      </c>
      <c r="C21" s="43" t="s">
        <v>35</v>
      </c>
      <c r="D21" s="44">
        <v>3.0</v>
      </c>
      <c r="E21" s="42">
        <f t="shared" ref="E21:E23" si="7">IFERROR(
  FLOOR(
    (#REF! / VLOOKUP(#REF!, $A$9:$E$11, 4, FALSE)) / $B$5
  ,1),
  0
)</f>
        <v>0</v>
      </c>
      <c r="F21" s="36">
        <f t="shared" si="3"/>
        <v>4</v>
      </c>
      <c r="G21" s="36">
        <f>IF(
  A21&lt;=3,
  VLOOKUP(A21, 'Tabla anual'!$C$2:$D$4, 2, FALSE),
  IF(D21&gt;=$B$6, 1, 0)
)</f>
        <v>0</v>
      </c>
      <c r="H21" s="36">
        <f t="array" ref="H21">IF(
  E21=0,
  0,
  IF(
    _xlfn.RANK.EQ(E21,$E$14:$E$23,0)&lt;=3,
    INDEX('Tabla anual'!$F$2:$F$4, _xlfn.RANK.EQ(E21,$E$14:$E$23,0)),
    IF(E21&gt;='Tabla anual'!$F$5, 1, 0)
  )
)</f>
        <v>0</v>
      </c>
      <c r="I21" s="32">
        <f t="shared" si="4"/>
        <v>4</v>
      </c>
    </row>
    <row r="22">
      <c r="A22" s="37">
        <v>9.0</v>
      </c>
      <c r="B22" s="40" t="s">
        <v>9</v>
      </c>
      <c r="C22" s="40" t="s">
        <v>45</v>
      </c>
      <c r="D22" s="41">
        <v>3.0</v>
      </c>
      <c r="E22" s="42">
        <f t="shared" si="7"/>
        <v>0</v>
      </c>
      <c r="F22" s="36">
        <f t="shared" si="3"/>
        <v>3</v>
      </c>
      <c r="G22" s="36">
        <f>IF(
  A22&lt;=3,
  VLOOKUP(A22, 'Tabla anual'!$C$2:$D$4, 2, FALSE),
  IF(D22&gt;=$B$6, 1, 0)
)</f>
        <v>0</v>
      </c>
      <c r="H22" s="36">
        <f t="array" ref="H22">IF(
  E22=0,
  0,
  IF(
    _xlfn.RANK.EQ(E22,$E$14:$E$23,0)&lt;=3,
    INDEX('Tabla anual'!$F$2:$F$4, _xlfn.RANK.EQ(E22,$E$14:$E$23,0)),
    IF(E22&gt;='Tabla anual'!$F$5, 1, 0)
  )
)</f>
        <v>0</v>
      </c>
      <c r="I22" s="32">
        <f t="shared" si="4"/>
        <v>3</v>
      </c>
    </row>
    <row r="23">
      <c r="A23" s="37">
        <v>10.0</v>
      </c>
      <c r="B23" s="40" t="s">
        <v>10</v>
      </c>
      <c r="C23" s="40" t="s">
        <v>45</v>
      </c>
      <c r="D23" s="41">
        <v>2.0</v>
      </c>
      <c r="E23" s="42">
        <f t="shared" si="7"/>
        <v>0</v>
      </c>
      <c r="F23" s="36">
        <f t="shared" si="3"/>
        <v>3</v>
      </c>
      <c r="G23" s="36">
        <f>IF(
  A23&lt;=3,
  VLOOKUP(A23, 'Tabla anual'!$C$2:$D$4, 2, FALSE),
  IF(D23&gt;=$B$6, 1, 0)
)</f>
        <v>0</v>
      </c>
      <c r="H23" s="36">
        <f t="array" ref="H23">IF(
  E23=0,
  0,
  IF(
    _xlfn.RANK.EQ(E23,$E$14:$E$23,0)&lt;=3,
    INDEX('Tabla anual'!$F$2:$F$4, _xlfn.RANK.EQ(E23,$E$14:$E$23,0)),
    IF(E23&gt;='Tabla anual'!$F$5, 1, 0)
  )
)</f>
        <v>0</v>
      </c>
      <c r="I23" s="32">
        <f t="shared" si="4"/>
        <v>3</v>
      </c>
    </row>
    <row r="24">
      <c r="A24" s="37">
        <v>11.0</v>
      </c>
      <c r="B24" s="40" t="s">
        <v>11</v>
      </c>
      <c r="C24" s="40" t="s">
        <v>34</v>
      </c>
      <c r="D24" s="41">
        <v>0.0</v>
      </c>
      <c r="E24" s="42">
        <f>IFERROR(
  FLOOR(
    (D24 / VLOOKUP(C24, $A$9:$E$11, 4, FALSE)) / $B$5
  ,1),
  0
)</f>
        <v>0</v>
      </c>
      <c r="F24" s="36">
        <f t="shared" si="3"/>
        <v>2</v>
      </c>
      <c r="G24" s="36">
        <f>IF(
  A24&lt;=3,
  VLOOKUP(A24, 'Tabla anual'!$C$2:$D$4, 2, FALSE),
  IF(D24&gt;=$B$6, 1, 0)
)</f>
        <v>0</v>
      </c>
      <c r="H24" s="36">
        <f t="array" ref="H24">IF(
  E24=0,
  0,
  IF(
    _xlfn.RANK.EQ(E24,$E$14:$E$23,0)&lt;=3,
    INDEX('Tabla anual'!$F$2:$F$4, _xlfn.RANK.EQ(E24,$E$14:$E$23,0)),
    IF(E24&gt;='Tabla anual'!$F$5, 1, 0)
  )
)</f>
        <v>0</v>
      </c>
      <c r="I24" s="32">
        <f t="shared" si="4"/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46</v>
      </c>
    </row>
    <row r="2">
      <c r="A2" s="9" t="s">
        <v>24</v>
      </c>
      <c r="B2" s="49">
        <v>46013.0</v>
      </c>
    </row>
    <row r="3">
      <c r="A3" s="9" t="s">
        <v>25</v>
      </c>
      <c r="B3" s="49">
        <v>46020.0</v>
      </c>
    </row>
    <row r="4">
      <c r="A4" s="9" t="s">
        <v>26</v>
      </c>
      <c r="B4" s="21">
        <f>(B3-B2)*24</f>
        <v>168</v>
      </c>
    </row>
    <row r="5">
      <c r="A5" s="9" t="s">
        <v>44</v>
      </c>
      <c r="B5" s="21">
        <f>75/B4</f>
        <v>0.4464285714</v>
      </c>
    </row>
    <row r="6">
      <c r="A6" s="9" t="s">
        <v>28</v>
      </c>
      <c r="B6" s="3">
        <f>(30*3)/11</f>
        <v>8.181818182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34</v>
      </c>
      <c r="B9" s="3">
        <v>1.0</v>
      </c>
      <c r="C9" s="20">
        <v>46014.98819444444</v>
      </c>
      <c r="D9" s="21">
        <f t="shared" ref="D9:D11" si="1">(C9-$B$2)*24</f>
        <v>47.71666667</v>
      </c>
      <c r="E9" s="25">
        <f>'Tabla anual'!B2</f>
        <v>4</v>
      </c>
    </row>
    <row r="10">
      <c r="A10" s="3" t="s">
        <v>45</v>
      </c>
      <c r="B10" s="3">
        <v>2.0</v>
      </c>
      <c r="C10" s="20">
        <v>46015.51111111111</v>
      </c>
      <c r="D10" s="21">
        <f t="shared" si="1"/>
        <v>60.26666667</v>
      </c>
      <c r="E10" s="25">
        <f>'Tabla anual'!B3</f>
        <v>3</v>
      </c>
    </row>
    <row r="11">
      <c r="A11" s="3" t="s">
        <v>35</v>
      </c>
      <c r="B11" s="3">
        <v>3.0</v>
      </c>
      <c r="C11" s="20">
        <v>46016.89722222222</v>
      </c>
      <c r="D11" s="21">
        <f t="shared" si="1"/>
        <v>93.53333333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29" t="s">
        <v>18</v>
      </c>
      <c r="C14" s="29" t="s">
        <v>34</v>
      </c>
      <c r="D14" s="38">
        <v>18.0</v>
      </c>
      <c r="E14" s="30">
        <f t="shared" ref="E14:E15" si="2">IFERROR(
  FLOOR(
    (D14 / VLOOKUP(C14, $A$9:$E$11, 4, FALSE)) / $B$5
  ,1),
  0
)</f>
        <v>0</v>
      </c>
      <c r="F14" s="31">
        <f t="shared" ref="F14:F24" si="3">VLOOKUP(C14, $A$9:$E$11, 5, FALSE)</f>
        <v>4</v>
      </c>
      <c r="G14" s="31">
        <f>IF(
  A14&lt;=3,
  VLOOKUP(A14, 'Tabla anual'!$C$2:$D$4, 2, FALSE),
  IF(D14&gt;=$B$6, 1, 0)
)</f>
        <v>4</v>
      </c>
      <c r="H14" s="31">
        <f t="array" ref="H14">IF(
  E14=0,
  0,
  IF(
    _xlfn.RANK.EQ(E14,$E$14:$E$24,0)&lt;=3,
    INDEX('Tabla anual'!$F$2:$F$4, _xlfn.RANK.EQ(E14,$E$14:$E$24,0)),
    IF(E14&gt;='Tabla anual'!$F$5, 1, 0)
  )
)</f>
        <v>0</v>
      </c>
      <c r="I14" s="32">
        <f t="shared" ref="I14:I24" si="4">sum(F14:H14)</f>
        <v>8</v>
      </c>
    </row>
    <row r="15">
      <c r="A15" s="33">
        <v>2.0</v>
      </c>
      <c r="B15" s="33" t="s">
        <v>12</v>
      </c>
      <c r="C15" s="33" t="s">
        <v>45</v>
      </c>
      <c r="D15" s="39">
        <v>13.0</v>
      </c>
      <c r="E15" s="30">
        <f t="shared" si="2"/>
        <v>0</v>
      </c>
      <c r="F15" s="31">
        <f t="shared" si="3"/>
        <v>3</v>
      </c>
      <c r="G15" s="31">
        <f>IF(
  A15&lt;=3,
  VLOOKUP(A15, 'Tabla anual'!$C$2:$D$4, 2, FALSE),
  IF(D15&gt;=$B$6, 1, 0)
)</f>
        <v>3</v>
      </c>
      <c r="H15" s="31">
        <f t="array" ref="H15">IF(
  E15=0,
  0,
  IF(
    _xlfn.RANK.EQ(E15,$E$14:$E$23,0)&lt;=3,
    INDEX('Tabla anual'!$F$2:$F$4, _xlfn.RANK.EQ(E15,$E$14:$E$23,0)),
    IF(E15&gt;='Tabla anual'!$F$5, 1, 0)
  )
)</f>
        <v>0</v>
      </c>
      <c r="I15" s="32">
        <f t="shared" si="4"/>
        <v>6</v>
      </c>
    </row>
    <row r="16">
      <c r="A16" s="33">
        <v>3.0</v>
      </c>
      <c r="B16" s="50" t="s">
        <v>11</v>
      </c>
      <c r="C16" s="50" t="s">
        <v>35</v>
      </c>
      <c r="D16" s="51">
        <v>11.0</v>
      </c>
      <c r="E16" s="30">
        <f t="shared" ref="E16:E18" si="5">IFERROR(
  FLOOR(
    (#REF! / VLOOKUP(#REF!, $A$9:$E$11, 4, FALSE)) / $B$5
  ,1),
  0
)</f>
        <v>0</v>
      </c>
      <c r="F16" s="31">
        <f t="shared" si="3"/>
        <v>2</v>
      </c>
      <c r="G16" s="31">
        <f>IF(
  A16&lt;=3,
  VLOOKUP(A16, 'Tabla anual'!$C$2:$D$4, 2, FALSE),
  IF(D16&gt;=$B$6, 1, 0)
)</f>
        <v>2</v>
      </c>
      <c r="H16" s="31">
        <f t="array" ref="H16">IF(
  E16=0,
  0,
  IF(
    _xlfn.RANK.EQ(E16,$E$14:$E$23,0)&lt;=3,
    INDEX('Tabla anual'!$F$2:$F$4, _xlfn.RANK.EQ(E16,$E$14:$E$23,0)),
    IF(E16&gt;='Tabla anual'!$F$5, 1, 0)
  )
)</f>
        <v>0</v>
      </c>
      <c r="I16" s="32">
        <f t="shared" si="4"/>
        <v>4</v>
      </c>
    </row>
    <row r="17">
      <c r="A17" s="37">
        <v>4.0</v>
      </c>
      <c r="B17" s="34" t="s">
        <v>16</v>
      </c>
      <c r="C17" s="34" t="s">
        <v>35</v>
      </c>
      <c r="D17" s="52">
        <v>9.0</v>
      </c>
      <c r="E17" s="42">
        <f t="shared" si="5"/>
        <v>0</v>
      </c>
      <c r="F17" s="36">
        <f t="shared" si="3"/>
        <v>2</v>
      </c>
      <c r="G17" s="36">
        <f>IF(
  A17&lt;=3,
  VLOOKUP(A17, 'Tabla anual'!$C$2:$D$4, 2, FALSE),
  IF(D17&gt;=$B$6, 1, 0)
)</f>
        <v>1</v>
      </c>
      <c r="H17" s="36">
        <f t="array" ref="H17">IF(
  E17=0,
  0,
  IF(
    _xlfn.RANK.EQ(E17,$E$14:$E$23,0)&lt;=3,
    INDEX('Tabla anual'!$F$2:$F$4, _xlfn.RANK.EQ(E17,$E$14:$E$23,0)),
    IF(E17&gt;='Tabla anual'!$F$5, 1, 0)
  )
)</f>
        <v>0</v>
      </c>
      <c r="I17" s="32">
        <f t="shared" si="4"/>
        <v>3</v>
      </c>
    </row>
    <row r="18">
      <c r="A18" s="34">
        <v>5.0</v>
      </c>
      <c r="B18" s="53" t="s">
        <v>14</v>
      </c>
      <c r="C18" s="53" t="s">
        <v>45</v>
      </c>
      <c r="D18" s="54">
        <v>7.0</v>
      </c>
      <c r="E18" s="42">
        <f t="shared" si="5"/>
        <v>0</v>
      </c>
      <c r="F18" s="36">
        <f t="shared" si="3"/>
        <v>3</v>
      </c>
      <c r="G18" s="36">
        <f>IF(
  A18&lt;=3,
  VLOOKUP(A18, 'Tabla anual'!$C$2:$D$4, 2, FALSE),
  IF(D18&gt;=$B$6, 1, 0)
)</f>
        <v>0</v>
      </c>
      <c r="H18" s="36">
        <f t="array" ref="H18">IF(
  E18=0,
  0,
  IF(
    _xlfn.RANK.EQ(E18,$E$14:$E$23,0)&lt;=3,
    INDEX('Tabla anual'!$F$2:$F$4, _xlfn.RANK.EQ(E18,$E$14:$E$23,0)),
    IF(E18&gt;='Tabla anual'!$F$5, 1, 0)
  )
)</f>
        <v>0</v>
      </c>
      <c r="I18" s="32">
        <f t="shared" si="4"/>
        <v>3</v>
      </c>
    </row>
    <row r="19">
      <c r="A19" s="34">
        <v>6.0</v>
      </c>
      <c r="B19" s="34" t="s">
        <v>13</v>
      </c>
      <c r="C19" s="34" t="s">
        <v>35</v>
      </c>
      <c r="D19" s="52">
        <v>6.0</v>
      </c>
      <c r="E19" s="35">
        <f>IFERROR(
  FLOOR(
    (D19 / VLOOKUP(C19, $A$9:$E$11, 4, FALSE)) / $B$5
  ,1),
  0
)</f>
        <v>0</v>
      </c>
      <c r="F19" s="36">
        <f t="shared" si="3"/>
        <v>2</v>
      </c>
      <c r="G19" s="36">
        <f>IF(
  A19&lt;=3,
  VLOOKUP(A19, 'Tabla anual'!$C$2:$D$4, 2, FALSE),
  IF(D19&gt;=$B$6, 1, 0)
)</f>
        <v>0</v>
      </c>
      <c r="H19" s="36">
        <f t="array" ref="H19">IF(
  E19=0,
  0,
  IF(
    _xlfn.RANK.EQ(E19,$E$14:$E$23,0)&lt;=3,
    INDEX('Tabla anual'!$F$2:$F$4, _xlfn.RANK.EQ(E19,$E$14:$E$23,0)),
    IF(E19&gt;='Tabla anual'!$F$5, 1, 0)
  )
)</f>
        <v>0</v>
      </c>
      <c r="I19" s="32">
        <f t="shared" si="4"/>
        <v>2</v>
      </c>
    </row>
    <row r="20">
      <c r="A20" s="37">
        <v>7.0</v>
      </c>
      <c r="B20" s="34" t="s">
        <v>10</v>
      </c>
      <c r="C20" s="34" t="s">
        <v>34</v>
      </c>
      <c r="D20" s="52">
        <v>6.0</v>
      </c>
      <c r="E20" s="42">
        <f t="shared" ref="E20:E23" si="6">IFERROR(
  FLOOR(
    (#REF! / VLOOKUP(#REF!, $A$9:$E$11, 4, FALSE)) / $B$5
  ,1),
  0
)</f>
        <v>0</v>
      </c>
      <c r="F20" s="36">
        <f t="shared" si="3"/>
        <v>4</v>
      </c>
      <c r="G20" s="36">
        <f>IF(
  A20&lt;=3,
  VLOOKUP(A20, 'Tabla anual'!$C$2:$D$4, 2, FALSE),
  IF(D20&gt;=$B$6, 1, 0)
)</f>
        <v>0</v>
      </c>
      <c r="H20" s="36">
        <f t="array" ref="H20">IF(
  E20=0,
  0,
  IF(
    _xlfn.RANK.EQ(E20,$E$14:$E$23,0)&lt;=3,
    INDEX('Tabla anual'!$F$2:$F$4, _xlfn.RANK.EQ(E20,$E$14:$E$23,0)),
    IF(E20&gt;='Tabla anual'!$F$5, 1, 0)
  )
)</f>
        <v>0</v>
      </c>
      <c r="I20" s="32">
        <f t="shared" si="4"/>
        <v>4</v>
      </c>
    </row>
    <row r="21">
      <c r="A21" s="37">
        <v>8.0</v>
      </c>
      <c r="B21" s="53" t="s">
        <v>19</v>
      </c>
      <c r="C21" s="53" t="s">
        <v>34</v>
      </c>
      <c r="D21" s="54">
        <v>6.0</v>
      </c>
      <c r="E21" s="42">
        <f t="shared" si="6"/>
        <v>0</v>
      </c>
      <c r="F21" s="36">
        <f t="shared" si="3"/>
        <v>4</v>
      </c>
      <c r="G21" s="36">
        <f>IF(
  A21&lt;=3,
  VLOOKUP(A21, 'Tabla anual'!$C$2:$D$4, 2, FALSE),
  IF(D21&gt;=$B$6, 1, 0)
)</f>
        <v>0</v>
      </c>
      <c r="H21" s="36">
        <f t="array" ref="H21">IF(
  E21=0,
  0,
  IF(
    _xlfn.RANK.EQ(E21,$E$14:$E$23,0)&lt;=3,
    INDEX('Tabla anual'!$F$2:$F$4, _xlfn.RANK.EQ(E21,$E$14:$E$23,0)),
    IF(E21&gt;='Tabla anual'!$F$5, 1, 0)
  )
)</f>
        <v>0</v>
      </c>
      <c r="I21" s="32">
        <f t="shared" si="4"/>
        <v>4</v>
      </c>
    </row>
    <row r="22">
      <c r="A22" s="37">
        <v>9.0</v>
      </c>
      <c r="B22" s="34" t="s">
        <v>9</v>
      </c>
      <c r="C22" s="34" t="s">
        <v>45</v>
      </c>
      <c r="D22" s="52">
        <v>5.0</v>
      </c>
      <c r="E22" s="42">
        <f t="shared" si="6"/>
        <v>0</v>
      </c>
      <c r="F22" s="36">
        <f t="shared" si="3"/>
        <v>3</v>
      </c>
      <c r="G22" s="36">
        <f>IF(
  A22&lt;=3,
  VLOOKUP(A22, 'Tabla anual'!$C$2:$D$4, 2, FALSE),
  IF(D22&gt;=$B$6, 1, 0)
)</f>
        <v>0</v>
      </c>
      <c r="H22" s="36">
        <f t="array" ref="H22">IF(
  E22=0,
  0,
  IF(
    _xlfn.RANK.EQ(E22,$E$14:$E$23,0)&lt;=3,
    INDEX('Tabla anual'!$F$2:$F$4, _xlfn.RANK.EQ(E22,$E$14:$E$23,0)),
    IF(E22&gt;='Tabla anual'!$F$5, 1, 0)
  )
)</f>
        <v>0</v>
      </c>
      <c r="I22" s="32">
        <f t="shared" si="4"/>
        <v>3</v>
      </c>
    </row>
    <row r="23">
      <c r="A23" s="37">
        <v>10.0</v>
      </c>
      <c r="B23" s="37" t="s">
        <v>17</v>
      </c>
      <c r="C23" s="37" t="s">
        <v>45</v>
      </c>
      <c r="D23" s="55">
        <v>5.0</v>
      </c>
      <c r="E23" s="42">
        <f t="shared" si="6"/>
        <v>0</v>
      </c>
      <c r="F23" s="36">
        <f t="shared" si="3"/>
        <v>3</v>
      </c>
      <c r="G23" s="36">
        <f>IF(
  A23&lt;=3,
  VLOOKUP(A23, 'Tabla anual'!$C$2:$D$4, 2, FALSE),
  IF(D23&gt;=$B$6, 1, 0)
)</f>
        <v>0</v>
      </c>
      <c r="H23" s="36">
        <f t="array" ref="H23">IF(
  E23=0,
  0,
  IF(
    _xlfn.RANK.EQ(E23,$E$14:$E$23,0)&lt;=3,
    INDEX('Tabla anual'!$F$2:$F$4, _xlfn.RANK.EQ(E23,$E$14:$E$23,0)),
    IF(E23&gt;='Tabla anual'!$F$5, 1, 0)
  )
)</f>
        <v>0</v>
      </c>
      <c r="I23" s="32">
        <f t="shared" si="4"/>
        <v>3</v>
      </c>
    </row>
    <row r="24">
      <c r="A24" s="37">
        <v>11.0</v>
      </c>
      <c r="B24" s="53" t="s">
        <v>15</v>
      </c>
      <c r="C24" s="34" t="s">
        <v>35</v>
      </c>
      <c r="D24" s="54">
        <v>4.0</v>
      </c>
      <c r="E24" s="42">
        <f>IFERROR(
  FLOOR(
    (D24 / VLOOKUP(C24, $A$9:$E$11, 4, FALSE)) / $B$5
  ,1),
  0
)</f>
        <v>0</v>
      </c>
      <c r="F24" s="36">
        <f t="shared" si="3"/>
        <v>2</v>
      </c>
      <c r="G24" s="36">
        <f>IF(
  A24&lt;=3,
  VLOOKUP(A24, 'Tabla anual'!$C$2:$D$4, 2, FALSE),
  IF(D24&gt;=$B$6, 1, 0)
)</f>
        <v>0</v>
      </c>
      <c r="H24" s="36">
        <f t="array" ref="H24">IF(
  E24=0,
  0,
  IF(
    _xlfn.RANK.EQ(E24,$E$14:$E$23,0)&lt;=3,
    INDEX('Tabla anual'!$F$2:$F$4, _xlfn.RANK.EQ(E24,$E$14:$E$23,0)),
    IF(E24&gt;='Tabla anual'!$F$5, 1, 0)
  )
)</f>
        <v>0</v>
      </c>
      <c r="I24" s="32">
        <f t="shared" si="4"/>
        <v>2</v>
      </c>
    </row>
    <row r="38">
      <c r="B38" s="56"/>
      <c r="C38" s="56"/>
      <c r="D38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47</v>
      </c>
    </row>
    <row r="2">
      <c r="A2" s="9" t="s">
        <v>24</v>
      </c>
      <c r="B2" s="20">
        <v>46020.916666666664</v>
      </c>
    </row>
    <row r="3">
      <c r="A3" s="9" t="s">
        <v>25</v>
      </c>
      <c r="B3" s="20">
        <v>46027.916666666664</v>
      </c>
    </row>
    <row r="4">
      <c r="A4" s="9" t="s">
        <v>26</v>
      </c>
      <c r="B4" s="21">
        <f>(B3-B2)*24</f>
        <v>168</v>
      </c>
    </row>
    <row r="5">
      <c r="A5" s="9" t="s">
        <v>44</v>
      </c>
      <c r="B5" s="21">
        <f>75/B4</f>
        <v>0.4464285714</v>
      </c>
    </row>
    <row r="6">
      <c r="A6" s="9" t="s">
        <v>28</v>
      </c>
      <c r="B6" s="3">
        <f>(500*3)/11</f>
        <v>136.3636364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34</v>
      </c>
      <c r="B9" s="3">
        <v>1.0</v>
      </c>
      <c r="C9" s="20">
        <v>46021.51180555556</v>
      </c>
      <c r="D9" s="21">
        <f t="shared" ref="D9:D11" si="1">(C9-$B$2)*24</f>
        <v>14.28333333</v>
      </c>
      <c r="E9" s="25">
        <f>'Tabla anual'!B2</f>
        <v>4</v>
      </c>
    </row>
    <row r="10">
      <c r="A10" s="3" t="s">
        <v>45</v>
      </c>
      <c r="B10" s="3">
        <v>2.0</v>
      </c>
      <c r="C10" s="20">
        <v>46021.61944444444</v>
      </c>
      <c r="D10" s="21">
        <f t="shared" si="1"/>
        <v>16.86666667</v>
      </c>
      <c r="E10" s="25">
        <f>'Tabla anual'!B3</f>
        <v>3</v>
      </c>
    </row>
    <row r="11">
      <c r="A11" s="3" t="s">
        <v>35</v>
      </c>
      <c r="B11" s="3">
        <v>3.0</v>
      </c>
      <c r="C11" s="20">
        <v>46025.0</v>
      </c>
      <c r="D11" s="21">
        <f t="shared" si="1"/>
        <v>98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29" t="s">
        <v>12</v>
      </c>
      <c r="C14" s="29" t="s">
        <v>35</v>
      </c>
      <c r="D14" s="38">
        <v>400.0</v>
      </c>
      <c r="E14" s="30">
        <f t="shared" ref="E14:E22" si="2">IFERROR(
  FLOOR(
    (D14 / VLOOKUP(C14, $A$9:$E$11, 4, FALSE)) / $B$5
  ,1),
  0
)</f>
        <v>9</v>
      </c>
      <c r="F14" s="31">
        <f t="shared" ref="F14:F24" si="3">VLOOKUP(C14, $A$9:$E$11, 5, FALSE)</f>
        <v>2</v>
      </c>
      <c r="G14" s="31">
        <f>IF(
  A14&lt;=3,
  VLOOKUP(A14, 'Tabla anual'!$C$2:$D$4, 2, FALSE),
  IF(D14&gt;=$B$6, 1, 0)
)</f>
        <v>4</v>
      </c>
      <c r="H14" s="31">
        <f t="array" ref="H14">IF(
  E14=0,
  0,
  IF(
    _xlfn.RANK.EQ(E14,$E$14:$E$24,0)&lt;=3,
    INDEX('Tabla anual'!$F$2:$F$4, _xlfn.RANK.EQ(E14,$E$14:$E$24,0)),
    IF(E14&gt;='Tabla anual'!$F$5, 1, 0)
  )
)</f>
        <v>1</v>
      </c>
      <c r="I14" s="32">
        <f t="shared" ref="I14:I24" si="4">sum(F14:H14)</f>
        <v>7</v>
      </c>
    </row>
    <row r="15">
      <c r="A15" s="33">
        <v>2.0</v>
      </c>
      <c r="B15" s="33" t="s">
        <v>19</v>
      </c>
      <c r="C15" s="33" t="s">
        <v>34</v>
      </c>
      <c r="D15" s="39">
        <v>248.0</v>
      </c>
      <c r="E15" s="58">
        <f t="shared" si="2"/>
        <v>38</v>
      </c>
      <c r="F15" s="31">
        <f t="shared" si="3"/>
        <v>4</v>
      </c>
      <c r="G15" s="31">
        <f>IF(
  A15&lt;=3,
  VLOOKUP(A15, 'Tabla anual'!$C$2:$D$4, 2, FALSE),
  IF(D15&gt;=$B$6, 1, 0)
)</f>
        <v>3</v>
      </c>
      <c r="H15" s="31">
        <f t="array" ref="H15">IF(
  E15=0,
  0,
  IF(
    _xlfn.RANK.EQ(E15,$E$14:$E$23,0)&lt;=3,
    INDEX('Tabla anual'!$F$2:$F$4, _xlfn.RANK.EQ(E15,$E$14:$E$23,0)),
    IF(E15&gt;='Tabla anual'!$F$5, 1, 0)
  )
)</f>
        <v>4</v>
      </c>
      <c r="I15" s="32">
        <f t="shared" si="4"/>
        <v>11</v>
      </c>
    </row>
    <row r="16">
      <c r="A16" s="33">
        <v>3.0</v>
      </c>
      <c r="B16" s="33" t="s">
        <v>17</v>
      </c>
      <c r="C16" s="33" t="s">
        <v>45</v>
      </c>
      <c r="D16" s="39">
        <v>245.0</v>
      </c>
      <c r="E16" s="58">
        <f t="shared" si="2"/>
        <v>32</v>
      </c>
      <c r="F16" s="31">
        <f t="shared" si="3"/>
        <v>3</v>
      </c>
      <c r="G16" s="31">
        <f>IF(
  A16&lt;=3,
  VLOOKUP(A16, 'Tabla anual'!$C$2:$D$4, 2, FALSE),
  IF(D16&gt;=$B$6, 1, 0)
)</f>
        <v>2</v>
      </c>
      <c r="H16" s="31">
        <f t="array" ref="H16">IF(
  E16=0,
  0,
  IF(
    _xlfn.RANK.EQ(E16,$E$14:$E$23,0)&lt;=3,
    INDEX('Tabla anual'!$F$2:$F$4, _xlfn.RANK.EQ(E16,$E$14:$E$23,0)),
    IF(E16&gt;='Tabla anual'!$F$5, 1, 0)
  )
)</f>
        <v>3</v>
      </c>
      <c r="I16" s="32">
        <f t="shared" si="4"/>
        <v>8</v>
      </c>
    </row>
    <row r="17">
      <c r="A17" s="37">
        <v>4.0</v>
      </c>
      <c r="B17" s="56" t="s">
        <v>14</v>
      </c>
      <c r="C17" s="34" t="s">
        <v>45</v>
      </c>
      <c r="D17" s="57">
        <v>139.0</v>
      </c>
      <c r="E17" s="59">
        <f t="shared" si="2"/>
        <v>18</v>
      </c>
      <c r="F17" s="36">
        <f t="shared" si="3"/>
        <v>3</v>
      </c>
      <c r="G17" s="36">
        <f>IF(
  A17&lt;=3,
  VLOOKUP(A17, 'Tabla anual'!$C$2:$D$4, 2, FALSE),
  IF(D17&gt;=$B$6, 1, 0)
)</f>
        <v>1</v>
      </c>
      <c r="H17" s="36">
        <f t="array" ref="H17">IF(
  E17=0,
  0,
  IF(
    _xlfn.RANK.EQ(E17,$E$14:$E$23,0)&lt;=3,
    INDEX('Tabla anual'!$F$2:$F$4, _xlfn.RANK.EQ(E17,$E$14:$E$23,0)),
    IF(E17&gt;='Tabla anual'!$F$5, 1, 0)
  )
)</f>
        <v>1</v>
      </c>
      <c r="I17" s="32">
        <f t="shared" si="4"/>
        <v>5</v>
      </c>
    </row>
    <row r="18">
      <c r="A18" s="34">
        <v>5.0</v>
      </c>
      <c r="B18" s="34" t="s">
        <v>16</v>
      </c>
      <c r="C18" s="34" t="s">
        <v>34</v>
      </c>
      <c r="D18" s="52">
        <v>127.0</v>
      </c>
      <c r="E18" s="35">
        <f t="shared" si="2"/>
        <v>19</v>
      </c>
      <c r="F18" s="36">
        <f t="shared" si="3"/>
        <v>4</v>
      </c>
      <c r="G18" s="36">
        <f>IF(
  A18&lt;=3,
  VLOOKUP(A18, 'Tabla anual'!$C$2:$D$4, 2, FALSE),
  IF(D18&gt;=$B$6, 1, 0)
)</f>
        <v>0</v>
      </c>
      <c r="H18" s="36">
        <f t="array" ref="H18">IF(
  E18=0,
  0,
  IF(
    _xlfn.RANK.EQ(E18,$E$14:$E$23,0)&lt;=3,
    INDEX('Tabla anual'!$F$2:$F$4, _xlfn.RANK.EQ(E18,$E$14:$E$23,0)),
    IF(E18&gt;='Tabla anual'!$F$5, 1, 0)
  )
)</f>
        <v>2</v>
      </c>
      <c r="I18" s="32">
        <f t="shared" si="4"/>
        <v>6</v>
      </c>
    </row>
    <row r="19">
      <c r="A19" s="34">
        <v>6.0</v>
      </c>
      <c r="B19" s="53" t="s">
        <v>15</v>
      </c>
      <c r="C19" s="53" t="s">
        <v>34</v>
      </c>
      <c r="D19" s="54">
        <v>125.0</v>
      </c>
      <c r="E19" s="35">
        <f t="shared" si="2"/>
        <v>19</v>
      </c>
      <c r="F19" s="36">
        <f t="shared" si="3"/>
        <v>4</v>
      </c>
      <c r="G19" s="36">
        <f>IF(
  A19&lt;=3,
  VLOOKUP(A19, 'Tabla anual'!$C$2:$D$4, 2, FALSE),
  IF(D19&gt;=$B$6, 1, 0)
)</f>
        <v>0</v>
      </c>
      <c r="H19" s="36">
        <f t="array" ref="H19">IF(
  E19=0,
  0,
  IF(
    _xlfn.RANK.EQ(E19,$E$14:$E$23,0)&lt;=3,
    INDEX('Tabla anual'!$F$2:$F$4, _xlfn.RANK.EQ(E19,$E$14:$E$23,0)),
    IF(E19&gt;='Tabla anual'!$F$5, 1, 0)
  )
)</f>
        <v>2</v>
      </c>
      <c r="I19" s="32">
        <f t="shared" si="4"/>
        <v>6</v>
      </c>
    </row>
    <row r="20">
      <c r="A20" s="37">
        <v>7.0</v>
      </c>
      <c r="B20" s="34" t="s">
        <v>13</v>
      </c>
      <c r="C20" s="34" t="s">
        <v>45</v>
      </c>
      <c r="D20" s="52">
        <v>96.0</v>
      </c>
      <c r="E20" s="35">
        <f t="shared" si="2"/>
        <v>12</v>
      </c>
      <c r="F20" s="36">
        <f t="shared" si="3"/>
        <v>3</v>
      </c>
      <c r="G20" s="36">
        <f>IF(
  A20&lt;=3,
  VLOOKUP(A20, 'Tabla anual'!$C$2:$D$4, 2, FALSE),
  IF(D20&gt;=$B$6, 1, 0)
)</f>
        <v>0</v>
      </c>
      <c r="H20" s="36">
        <f t="array" ref="H20">IF(
  E20=0,
  0,
  IF(
    _xlfn.RANK.EQ(E20,$E$14:$E$23,0)&lt;=3,
    INDEX('Tabla anual'!$F$2:$F$4, _xlfn.RANK.EQ(E20,$E$14:$E$23,0)),
    IF(E20&gt;='Tabla anual'!$F$5, 1, 0)
  )
)</f>
        <v>1</v>
      </c>
      <c r="I20" s="32">
        <f t="shared" si="4"/>
        <v>4</v>
      </c>
    </row>
    <row r="21">
      <c r="A21" s="37">
        <v>8.0</v>
      </c>
      <c r="B21" s="53" t="s">
        <v>10</v>
      </c>
      <c r="C21" s="53" t="s">
        <v>35</v>
      </c>
      <c r="D21" s="54">
        <v>52.0</v>
      </c>
      <c r="E21" s="35">
        <f t="shared" si="2"/>
        <v>1</v>
      </c>
      <c r="F21" s="36">
        <f t="shared" si="3"/>
        <v>2</v>
      </c>
      <c r="G21" s="36">
        <f>IF(
  A21&lt;=3,
  VLOOKUP(A21, 'Tabla anual'!$C$2:$D$4, 2, FALSE),
  IF(D21&gt;=$B$6, 1, 0)
)</f>
        <v>0</v>
      </c>
      <c r="H21" s="36">
        <f t="array" ref="H21">IF(
  E21=0,
  0,
  IF(
    _xlfn.RANK.EQ(E21,$E$14:$E$23,0)&lt;=3,
    INDEX('Tabla anual'!$F$2:$F$4, _xlfn.RANK.EQ(E21,$E$14:$E$23,0)),
    IF(E21&gt;='Tabla anual'!$F$5, 1, 0)
  )
)</f>
        <v>1</v>
      </c>
      <c r="I21" s="32">
        <f t="shared" si="4"/>
        <v>3</v>
      </c>
    </row>
    <row r="22">
      <c r="A22" s="37">
        <v>9.0</v>
      </c>
      <c r="B22" s="34" t="s">
        <v>9</v>
      </c>
      <c r="C22" s="34" t="s">
        <v>35</v>
      </c>
      <c r="D22" s="52">
        <v>48.0</v>
      </c>
      <c r="E22" s="35">
        <f t="shared" si="2"/>
        <v>1</v>
      </c>
      <c r="F22" s="36">
        <f t="shared" si="3"/>
        <v>2</v>
      </c>
      <c r="G22" s="36">
        <f>IF(
  A22&lt;=3,
  VLOOKUP(A22, 'Tabla anual'!$C$2:$D$4, 2, FALSE),
  IF(D22&gt;=$B$6, 1, 0)
)</f>
        <v>0</v>
      </c>
      <c r="H22" s="36">
        <f t="array" ref="H22">IF(
  E22=0,
  0,
  IF(
    _xlfn.RANK.EQ(E22,$E$14:$E$23,0)&lt;=3,
    INDEX('Tabla anual'!$F$2:$F$4, _xlfn.RANK.EQ(E22,$E$14:$E$23,0)),
    IF(E22&gt;='Tabla anual'!$F$5, 1, 0)
  )
)</f>
        <v>1</v>
      </c>
      <c r="I22" s="32">
        <f t="shared" si="4"/>
        <v>3</v>
      </c>
    </row>
    <row r="23">
      <c r="A23" s="37">
        <v>10.0</v>
      </c>
      <c r="B23" s="10" t="s">
        <v>18</v>
      </c>
      <c r="C23" s="10" t="s">
        <v>45</v>
      </c>
      <c r="D23" s="10">
        <v>20.0</v>
      </c>
      <c r="E23" s="35">
        <f>IFERROR(
  FLOOR(
    (D24 / VLOOKUP(C24, $A$9:$E$11, 4, FALSE)) / $B$5
  ,1),
  0
)</f>
        <v>0</v>
      </c>
      <c r="F23" s="36">
        <f t="shared" si="3"/>
        <v>3</v>
      </c>
      <c r="G23" s="36">
        <f>IF(
  A23&lt;=3,
  VLOOKUP(A23, 'Tabla anual'!$C$2:$D$4, 2, FALSE),
  IF(D23&gt;=$B$6, 1, 0)
)</f>
        <v>0</v>
      </c>
      <c r="H23" s="36">
        <f t="array" ref="H23">IF(
  E23=0,
  0,
  IF(
    _xlfn.RANK.EQ(E23,$E$14:$E$23,0)&lt;=3,
    INDEX('Tabla anual'!$F$2:$F$4, _xlfn.RANK.EQ(E23,$E$14:$E$23,0)),
    IF(E23&gt;='Tabla anual'!$F$5, 1, 0)
  )
)</f>
        <v>0</v>
      </c>
      <c r="I23" s="32">
        <f t="shared" si="4"/>
        <v>3</v>
      </c>
    </row>
    <row r="24">
      <c r="A24" s="37">
        <v>11.0</v>
      </c>
      <c r="B24" s="37" t="s">
        <v>11</v>
      </c>
      <c r="C24" s="37" t="s">
        <v>34</v>
      </c>
      <c r="D24" s="55">
        <v>0.0</v>
      </c>
      <c r="E24" s="35">
        <f>IFERROR(
  FLOOR(
    (#REF! / VLOOKUP(#REF!, $A$9:$E$11, 4, FALSE)) / $B$5
  ,1),
  0
)</f>
        <v>0</v>
      </c>
      <c r="F24" s="36">
        <f t="shared" si="3"/>
        <v>4</v>
      </c>
      <c r="G24" s="36">
        <f>IF(
  A24&lt;=3,
  VLOOKUP(A24, 'Tabla anual'!$C$2:$D$4, 2, FALSE),
  IF(D24&gt;=$B$6, 1, 0)
)</f>
        <v>0</v>
      </c>
      <c r="H24" s="36">
        <f t="array" ref="H24">IF(
  E24=0,
  0,
  IF(
    _xlfn.RANK.EQ(E24,$E$14:$E$23,0)&lt;=3,
    INDEX('Tabla anual'!$F$2:$F$4, _xlfn.RANK.EQ(E24,$E$14:$E$23,0)),
    IF(E24&gt;='Tabla anual'!$F$5, 1, 0)
  )
)</f>
        <v>0</v>
      </c>
      <c r="I24" s="32">
        <f t="shared" si="4"/>
        <v>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48</v>
      </c>
    </row>
    <row r="2">
      <c r="A2" s="9" t="s">
        <v>24</v>
      </c>
      <c r="B2" s="19">
        <v>46027.916666666664</v>
      </c>
    </row>
    <row r="3">
      <c r="A3" s="9" t="s">
        <v>25</v>
      </c>
      <c r="B3" s="19">
        <v>46034.916666666664</v>
      </c>
    </row>
    <row r="4">
      <c r="A4" s="9" t="s">
        <v>26</v>
      </c>
      <c r="B4" s="21">
        <f>(B3-B2)*24</f>
        <v>168</v>
      </c>
    </row>
    <row r="5">
      <c r="A5" s="9" t="s">
        <v>44</v>
      </c>
      <c r="B5" s="21">
        <f>75/B4</f>
        <v>0.4464285714</v>
      </c>
    </row>
    <row r="6">
      <c r="A6" s="9" t="s">
        <v>28</v>
      </c>
      <c r="B6" s="3">
        <f>(150*3)/11</f>
        <v>40.90909091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35</v>
      </c>
      <c r="B9" s="3">
        <v>1.0</v>
      </c>
      <c r="C9" s="19">
        <v>46028.03333333333</v>
      </c>
      <c r="D9" s="21">
        <f t="shared" ref="D9:D11" si="1">(C9-$B$2)*24</f>
        <v>2.8</v>
      </c>
      <c r="E9" s="25">
        <f>'Tabla anual'!B2</f>
        <v>4</v>
      </c>
    </row>
    <row r="10">
      <c r="A10" s="3" t="s">
        <v>45</v>
      </c>
      <c r="B10" s="3">
        <v>2.0</v>
      </c>
      <c r="C10" s="19">
        <v>46028.419444444444</v>
      </c>
      <c r="D10" s="21">
        <f t="shared" si="1"/>
        <v>12.06666667</v>
      </c>
      <c r="E10" s="25">
        <f>'Tabla anual'!B3</f>
        <v>3</v>
      </c>
    </row>
    <row r="11">
      <c r="A11" s="3" t="s">
        <v>34</v>
      </c>
      <c r="B11" s="3">
        <v>3.0</v>
      </c>
      <c r="C11" s="19">
        <v>46028.611805555556</v>
      </c>
      <c r="D11" s="21">
        <f t="shared" si="1"/>
        <v>16.68333333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29" t="s">
        <v>10</v>
      </c>
      <c r="C14" s="29" t="s">
        <v>35</v>
      </c>
      <c r="D14" s="38">
        <v>75.0</v>
      </c>
      <c r="E14" s="30">
        <f t="shared" ref="E14:E22" si="2">IFERROR(
  FLOOR(
    (D14 / VLOOKUP(C14, $A$9:$E$11, 4, FALSE)) / $B$5
  ,1),
  0
)</f>
        <v>59</v>
      </c>
      <c r="F14" s="31">
        <f t="shared" ref="F14:F23" si="3">VLOOKUP(C14, $A$9:$E$11, 5, FALSE)</f>
        <v>4</v>
      </c>
      <c r="G14" s="31">
        <f>IFERROR(__xludf.DUMMYFUNCTION("IF(
  D14="""",
  """",
  LET(
    cant, D14,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4" s="31">
        <f t="array" ref="H14">IF(
  E14=0,
  0,
  IF(
    _xlfn.RANK.EQ(E14,$E$14:$E$24,0)&lt;=3,
    INDEX('Tabla anual'!$F$2:$F$4, _xlfn.RANK.EQ(E14,$E$14:$E$24,0)),
    IF(E14&gt;='Tabla anual'!$F$5, 1, 0)
  )
)</f>
        <v>4</v>
      </c>
      <c r="I14" s="32">
        <f t="shared" ref="I14:I24" si="4">sum(F14:H14)</f>
        <v>12</v>
      </c>
    </row>
    <row r="15">
      <c r="A15" s="33">
        <v>2.0</v>
      </c>
      <c r="B15" s="33" t="s">
        <v>9</v>
      </c>
      <c r="C15" s="33" t="s">
        <v>35</v>
      </c>
      <c r="D15" s="39">
        <v>75.0</v>
      </c>
      <c r="E15" s="58">
        <f t="shared" si="2"/>
        <v>59</v>
      </c>
      <c r="F15" s="31">
        <f t="shared" si="3"/>
        <v>4</v>
      </c>
      <c r="G15" s="31">
        <f>IFERROR(__xludf.DUMMYFUNCTION("IF(
  D15="""",
  """",
  LET(
    cant, D15,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5" s="31">
        <f t="array" ref="H15">IF(
  E15=0,
  0,
  IF(
    _xlfn.RANK.EQ(E15,$E$14:$E$23,0)&lt;=3,
    INDEX('Tabla anual'!$F$2:$F$4, _xlfn.RANK.EQ(E15,$E$14:$E$23,0)),
    IF(E15&gt;='Tabla anual'!$F$5, 1, 0)
  )
)</f>
        <v>4</v>
      </c>
      <c r="I15" s="32">
        <f t="shared" si="4"/>
        <v>12</v>
      </c>
    </row>
    <row r="16">
      <c r="A16" s="34">
        <v>3.0</v>
      </c>
      <c r="B16" s="34" t="s">
        <v>19</v>
      </c>
      <c r="C16" s="34" t="s">
        <v>34</v>
      </c>
      <c r="D16" s="52">
        <v>74.0</v>
      </c>
      <c r="E16" s="59">
        <f t="shared" si="2"/>
        <v>9</v>
      </c>
      <c r="F16" s="36">
        <f t="shared" si="3"/>
        <v>2</v>
      </c>
      <c r="G16" s="36">
        <f>IFERROR(__xludf.DUMMYFUNCTION("IF(
  D16="""",
  """",
  LET(
    cant, D16,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6" s="36">
        <f t="array" ref="H16">IF(
  E16=0,
  0,
  IF(
    _xlfn.RANK.EQ(E16,$E$14:$E$23,0)&lt;=3,
    INDEX('Tabla anual'!$F$2:$F$4, _xlfn.RANK.EQ(E16,$E$14:$E$23,0)),
    IF(E16&gt;='Tabla anual'!$F$5, 1, 0)
  )
)</f>
        <v>1</v>
      </c>
      <c r="I16" s="32">
        <f t="shared" si="4"/>
        <v>6</v>
      </c>
    </row>
    <row r="17">
      <c r="A17" s="33">
        <v>4.0</v>
      </c>
      <c r="B17" s="50" t="s">
        <v>16</v>
      </c>
      <c r="C17" s="33" t="s">
        <v>45</v>
      </c>
      <c r="D17" s="51">
        <v>67.0</v>
      </c>
      <c r="E17" s="58">
        <f t="shared" si="2"/>
        <v>12</v>
      </c>
      <c r="F17" s="31">
        <f t="shared" si="3"/>
        <v>3</v>
      </c>
      <c r="G17" s="31">
        <f>IFERROR(__xludf.DUMMYFUNCTION("IF(
  D17="""",
  """",
  LET(
    cant, D17,
    rango, FILTER($D$14:$D$24, $D$14:$D$24&lt;&gt;""""),
    puestos, SORT(UNIQUE(rango), 1, FALSE),
    puesto, MATCH(cant, puestos, 0),
    IF(
      puesto&lt;=3,
      VLOOKUP(puesto, 'Tabla anual'!$C$2:$D$4, 2, FA"&amp;"LSE),
      IF(cant&gt;=$B$6, 1, 0)
    )
  )
)"),2.0)</f>
        <v>2</v>
      </c>
      <c r="H17" s="31">
        <f t="array" ref="H17">IF(
  E17=0,
  0,
  IF(
    _xlfn.RANK.EQ(E17,$E$14:$E$23,0)&lt;=3,
    INDEX('Tabla anual'!$F$2:$F$4, _xlfn.RANK.EQ(E17,$E$14:$E$23,0)),
    IF(E17&gt;='Tabla anual'!$F$5, 1, 0)
  )
)</f>
        <v>2</v>
      </c>
      <c r="I17" s="32">
        <f t="shared" si="4"/>
        <v>7</v>
      </c>
    </row>
    <row r="18">
      <c r="A18" s="34">
        <v>5.0</v>
      </c>
      <c r="B18" s="34" t="s">
        <v>17</v>
      </c>
      <c r="C18" s="34" t="s">
        <v>45</v>
      </c>
      <c r="D18" s="52">
        <v>41.0</v>
      </c>
      <c r="E18" s="35">
        <f t="shared" si="2"/>
        <v>7</v>
      </c>
      <c r="F18" s="36">
        <f t="shared" si="3"/>
        <v>3</v>
      </c>
      <c r="G18" s="36">
        <f>IFERROR(__xludf.DUMMYFUNCTION("IF(
  D18="""",
  """",
  LET(
    cant, D18,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8" s="36">
        <f t="array" ref="H18">IF(
  E18=0,
  0,
  IF(
    _xlfn.RANK.EQ(E18,$E$14:$E$23,0)&lt;=3,
    INDEX('Tabla anual'!$F$2:$F$4, _xlfn.RANK.EQ(E18,$E$14:$E$23,0)),
    IF(E18&gt;='Tabla anual'!$F$5, 1, 0)
  )
)</f>
        <v>1</v>
      </c>
      <c r="I18" s="32">
        <f t="shared" si="4"/>
        <v>5</v>
      </c>
    </row>
    <row r="19">
      <c r="A19" s="34">
        <v>6.0</v>
      </c>
      <c r="B19" s="53" t="s">
        <v>15</v>
      </c>
      <c r="C19" s="53" t="s">
        <v>45</v>
      </c>
      <c r="D19" s="54">
        <v>40.0</v>
      </c>
      <c r="E19" s="35">
        <f t="shared" si="2"/>
        <v>7</v>
      </c>
      <c r="F19" s="36">
        <f t="shared" si="3"/>
        <v>3</v>
      </c>
      <c r="G19" s="36">
        <f>IFERROR(__xludf.DUMMYFUNCTION("IF(
  D19="""",
  """",
  LET(
    cant, D19,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19" s="36">
        <f t="array" ref="H19">IF(
  E19=0,
  0,
  IF(
    _xlfn.RANK.EQ(E19,$E$14:$E$23,0)&lt;=3,
    INDEX('Tabla anual'!$F$2:$F$4, _xlfn.RANK.EQ(E19,$E$14:$E$23,0)),
    IF(E19&gt;='Tabla anual'!$F$5, 1, 0)
  )
)</f>
        <v>1</v>
      </c>
      <c r="I19" s="32">
        <f t="shared" si="4"/>
        <v>4</v>
      </c>
    </row>
    <row r="20">
      <c r="A20" s="37">
        <v>7.0</v>
      </c>
      <c r="B20" s="34" t="s">
        <v>14</v>
      </c>
      <c r="C20" s="34" t="s">
        <v>34</v>
      </c>
      <c r="D20" s="52">
        <v>39.0</v>
      </c>
      <c r="E20" s="35">
        <f t="shared" si="2"/>
        <v>5</v>
      </c>
      <c r="F20" s="36">
        <f t="shared" si="3"/>
        <v>2</v>
      </c>
      <c r="G20" s="36">
        <f>IFERROR(__xludf.DUMMYFUNCTION("IF(
  D20="""",
  """",
  LET(
    cant, D20,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0" s="36">
        <f t="array" ref="H20">IF(
  E20=0,
  0,
  IF(
    _xlfn.RANK.EQ(E20,$E$14:$E$23,0)&lt;=3,
    INDEX('Tabla anual'!$F$2:$F$4, _xlfn.RANK.EQ(E20,$E$14:$E$23,0)),
    IF(E20&gt;='Tabla anual'!$F$5, 1, 0)
  )
)</f>
        <v>1</v>
      </c>
      <c r="I20" s="32">
        <f t="shared" si="4"/>
        <v>3</v>
      </c>
    </row>
    <row r="21">
      <c r="A21" s="37">
        <v>8.0</v>
      </c>
      <c r="B21" s="53" t="s">
        <v>13</v>
      </c>
      <c r="C21" s="53" t="s">
        <v>34</v>
      </c>
      <c r="D21" s="54">
        <v>21.0</v>
      </c>
      <c r="E21" s="35">
        <f t="shared" si="2"/>
        <v>2</v>
      </c>
      <c r="F21" s="36">
        <f t="shared" si="3"/>
        <v>2</v>
      </c>
      <c r="G21" s="36">
        <f>IFERROR(__xludf.DUMMYFUNCTION("IF(
  D21="""",
  """",
  LET(
    cant, D21,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1" s="36">
        <f t="array" ref="H21">IF(
  E21=0,
  0,
  IF(
    _xlfn.RANK.EQ(E21,$E$14:$E$23,0)&lt;=3,
    INDEX('Tabla anual'!$F$2:$F$4, _xlfn.RANK.EQ(E21,$E$14:$E$23,0)),
    IF(E21&gt;='Tabla anual'!$F$5, 1, 0)
  )
)</f>
        <v>1</v>
      </c>
      <c r="I21" s="32">
        <f t="shared" si="4"/>
        <v>3</v>
      </c>
    </row>
    <row r="22">
      <c r="A22" s="37">
        <v>9.0</v>
      </c>
      <c r="B22" s="34" t="s">
        <v>11</v>
      </c>
      <c r="C22" s="34" t="s">
        <v>34</v>
      </c>
      <c r="D22" s="52">
        <v>16.0</v>
      </c>
      <c r="E22" s="35">
        <f t="shared" si="2"/>
        <v>2</v>
      </c>
      <c r="F22" s="36">
        <f t="shared" si="3"/>
        <v>2</v>
      </c>
      <c r="G22" s="36">
        <f>IFERROR(__xludf.DUMMYFUNCTION("IF(
  D22="""",
  """",
  LET(
    cant, D22,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2" s="36">
        <f t="array" ref="H22">IF(
  E22=0,
  0,
  IF(
    _xlfn.RANK.EQ(E22,$E$14:$E$23,0)&lt;=3,
    INDEX('Tabla anual'!$F$2:$F$4, _xlfn.RANK.EQ(E22,$E$14:$E$23,0)),
    IF(E22&gt;='Tabla anual'!$F$5, 1, 0)
  )
)</f>
        <v>1</v>
      </c>
      <c r="I22" s="32">
        <f t="shared" si="4"/>
        <v>3</v>
      </c>
    </row>
    <row r="23">
      <c r="A23" s="37">
        <v>10.0</v>
      </c>
      <c r="B23" s="34" t="s">
        <v>18</v>
      </c>
      <c r="C23" s="34" t="s">
        <v>45</v>
      </c>
      <c r="D23" s="52">
        <v>2.0</v>
      </c>
      <c r="E23" s="35">
        <f>IFERROR(
  FLOOR(
    (D24 / VLOOKUP(C24, $A$9:$E$11, 4, FALSE)) / $B$5
  ,1),
  0
)</f>
        <v>0</v>
      </c>
      <c r="F23" s="36">
        <f t="shared" si="3"/>
        <v>3</v>
      </c>
      <c r="G23" s="36">
        <f>IFERROR(__xludf.DUMMYFUNCTION("IF(
  D23="""",
  """",
  LET(
    cant, D23,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3" s="36">
        <f t="array" ref="H23">IF(
  E23=0,
  0,
  IF(
    _xlfn.RANK.EQ(E23,$E$14:$E$23,0)&lt;=3,
    INDEX('Tabla anual'!$F$2:$F$4, _xlfn.RANK.EQ(E23,$E$14:$E$23,0)),
    IF(E23&gt;='Tabla anual'!$F$5, 1, 0)
  )
)</f>
        <v>0</v>
      </c>
      <c r="I23" s="32">
        <f t="shared" si="4"/>
        <v>3</v>
      </c>
    </row>
    <row r="24">
      <c r="A24" s="60">
        <v>11.0</v>
      </c>
      <c r="B24" s="60" t="s">
        <v>12</v>
      </c>
      <c r="C24" s="60"/>
      <c r="D24" s="61">
        <v>0.0</v>
      </c>
      <c r="E24" s="62">
        <f>IFERROR(
  FLOOR(
    (#REF! / VLOOKUP(#REF!, $A$9:$E$11, 4, FALSE)) / $B$5
  ,1),
  0
)</f>
        <v>0</v>
      </c>
      <c r="F24" s="63">
        <v>0.0</v>
      </c>
      <c r="G24" s="64">
        <f>IFERROR(__xludf.DUMMYFUNCTION("IF(
  D24="""",
  """",
  LET(
    cant, D24,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4" s="64">
        <f t="array" ref="H24">IF(
  E24=0,
  0,
  IF(
    _xlfn.RANK.EQ(E24,$E$14:$E$23,0)&lt;=3,
    INDEX('Tabla anual'!$F$2:$F$4, _xlfn.RANK.EQ(E24,$E$14:$E$23,0)),
    IF(E24&gt;='Tabla anual'!$F$5, 1, 0)
  )
)</f>
        <v>0</v>
      </c>
      <c r="I24" s="32">
        <f t="shared" si="4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49</v>
      </c>
    </row>
    <row r="2">
      <c r="A2" s="9" t="s">
        <v>24</v>
      </c>
      <c r="B2" s="19">
        <v>46035.416666666664</v>
      </c>
    </row>
    <row r="3">
      <c r="A3" s="9" t="s">
        <v>25</v>
      </c>
      <c r="B3" s="19">
        <v>46042.916666666664</v>
      </c>
    </row>
    <row r="4">
      <c r="A4" s="9" t="s">
        <v>26</v>
      </c>
      <c r="B4" s="21">
        <f>(B3-B2)*24</f>
        <v>180</v>
      </c>
    </row>
    <row r="5">
      <c r="A5" s="9" t="s">
        <v>44</v>
      </c>
      <c r="B5" s="21">
        <f>75/B4</f>
        <v>0.4166666667</v>
      </c>
    </row>
    <row r="6">
      <c r="A6" s="9" t="s">
        <v>28</v>
      </c>
      <c r="B6" s="3">
        <f>(25*3)/11</f>
        <v>6.818181818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45</v>
      </c>
      <c r="B9" s="3">
        <v>1.0</v>
      </c>
      <c r="C9" s="19">
        <v>46035.5625</v>
      </c>
      <c r="D9" s="21">
        <f t="shared" ref="D9:D11" si="1">(C9-$B$2)*24</f>
        <v>3.5</v>
      </c>
      <c r="E9" s="25">
        <f>'Tabla anual'!B2</f>
        <v>4</v>
      </c>
    </row>
    <row r="10">
      <c r="A10" s="3" t="s">
        <v>34</v>
      </c>
      <c r="B10" s="3">
        <v>2.0</v>
      </c>
      <c r="C10" s="19">
        <v>46035.625</v>
      </c>
      <c r="D10" s="21">
        <f t="shared" si="1"/>
        <v>5</v>
      </c>
      <c r="E10" s="25">
        <f>'Tabla anual'!B3</f>
        <v>3</v>
      </c>
    </row>
    <row r="11">
      <c r="A11" s="3" t="s">
        <v>35</v>
      </c>
      <c r="B11" s="3">
        <v>3.0</v>
      </c>
      <c r="C11" s="19">
        <v>46035.81041666667</v>
      </c>
      <c r="D11" s="21">
        <f t="shared" si="1"/>
        <v>9.45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65" t="s">
        <v>16</v>
      </c>
      <c r="C14" s="65" t="s">
        <v>35</v>
      </c>
      <c r="D14" s="65">
        <v>13.0</v>
      </c>
      <c r="E14" s="30">
        <f t="shared" ref="E14:E24" si="2">IFERROR(
  FLOOR(
    (D14 / VLOOKUP(C14, $A$9:$E$11, 4, FALSE)) / $B$5
  ,1),
  0
)</f>
        <v>3</v>
      </c>
      <c r="F14" s="31">
        <f t="shared" ref="F14:F24" si="3">VLOOKUP(C14, $A$9:$E$11, 5, FALSE)</f>
        <v>2</v>
      </c>
      <c r="G14" s="31">
        <f>IFERROR(__xludf.DUMMYFUNCTION("IF(
  D14="""",
  """",
  LET(
    cant, D14,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4" s="31">
        <f t="array" ref="H14">IF(
  E14=0,
  0,
  IF(
    _xlfn.RANK.EQ(E14,$E$14:$E$24,0)&lt;=3,
    INDEX('Tabla anual'!$F$2:$F$4, _xlfn.RANK.EQ(E14,$E$14:$E$24,0)),
    IF(E14&gt;='Tabla anual'!$F$5, 1, 0)
  )
)</f>
        <v>1</v>
      </c>
      <c r="I14" s="32">
        <f t="shared" ref="I14:I24" si="4">sum(F14:H14)</f>
        <v>7</v>
      </c>
    </row>
    <row r="15">
      <c r="A15" s="37">
        <v>2.0</v>
      </c>
      <c r="B15" s="10" t="s">
        <v>13</v>
      </c>
      <c r="C15" s="10" t="s">
        <v>35</v>
      </c>
      <c r="D15" s="10">
        <v>12.0</v>
      </c>
      <c r="E15" s="42">
        <f t="shared" si="2"/>
        <v>3</v>
      </c>
      <c r="F15" s="11">
        <f t="shared" si="3"/>
        <v>2</v>
      </c>
      <c r="G15" s="11">
        <f>IFERROR(__xludf.DUMMYFUNCTION("IF(
  D15="""",
  """",
  LET(
    cant, D15,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5" s="11">
        <f t="array" ref="H15">IF(
  E15=0,
  0,
  IF(
    _xlfn.RANK.EQ(E15,$E$14:$E$23,0)&lt;=3,
    INDEX('Tabla anual'!$F$2:$F$4, _xlfn.RANK.EQ(E15,$E$14:$E$23,0)),
    IF(E15&gt;='Tabla anual'!$F$5, 1, 0)
  )
)</f>
        <v>1</v>
      </c>
      <c r="I15" s="32">
        <f t="shared" si="4"/>
        <v>6</v>
      </c>
    </row>
    <row r="16">
      <c r="A16" s="33">
        <v>3.0</v>
      </c>
      <c r="B16" s="65" t="s">
        <v>17</v>
      </c>
      <c r="C16" s="65" t="s">
        <v>34</v>
      </c>
      <c r="D16" s="65">
        <v>12.0</v>
      </c>
      <c r="E16" s="30">
        <f t="shared" si="2"/>
        <v>5</v>
      </c>
      <c r="F16" s="31">
        <f t="shared" si="3"/>
        <v>3</v>
      </c>
      <c r="G16" s="31">
        <f>IFERROR(__xludf.DUMMYFUNCTION("IF(
  D16="""",
  """",
  LET(
    cant, D16,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6" s="31">
        <f t="array" ref="H16">IF(
  E16=0,
  0,
  IF(
    _xlfn.RANK.EQ(E16,$E$14:$E$23,0)&lt;=3,
    INDEX('Tabla anual'!$F$2:$F$4, _xlfn.RANK.EQ(E16,$E$14:$E$23,0)),
    IF(E16&gt;='Tabla anual'!$F$5, 1, 0)
  )
)</f>
        <v>3</v>
      </c>
      <c r="I16" s="32">
        <f t="shared" si="4"/>
        <v>9</v>
      </c>
    </row>
    <row r="17">
      <c r="A17" s="33">
        <v>4.0</v>
      </c>
      <c r="B17" s="65" t="s">
        <v>19</v>
      </c>
      <c r="C17" s="65" t="s">
        <v>45</v>
      </c>
      <c r="D17" s="65">
        <v>10.0</v>
      </c>
      <c r="E17" s="30">
        <f t="shared" si="2"/>
        <v>6</v>
      </c>
      <c r="F17" s="31">
        <f t="shared" si="3"/>
        <v>4</v>
      </c>
      <c r="G17" s="31">
        <f>IFERROR(__xludf.DUMMYFUNCTION("IF(
  D17="""",
  """",
  LET(
    cant, D17,
    rango, FILTER($D$14:$D$24, $D$14:$D$24&lt;&gt;""""),
    puestos, SORT(UNIQUE(rango), 1, FALSE),
    puesto, MATCH(cant, puestos, 0),
    IF(
      puesto&lt;=3,
      VLOOKUP(puesto, 'Tabla anual'!$C$2:$D$4, 2, FA"&amp;"LSE),
      IF(cant&gt;=$B$6, 1, 0)
    )
  )
)"),2.0)</f>
        <v>2</v>
      </c>
      <c r="H17" s="31">
        <f t="array" ref="H17">IF(
  E17=0,
  0,
  IF(
    _xlfn.RANK.EQ(E17,$E$14:$E$23,0)&lt;=3,
    INDEX('Tabla anual'!$F$2:$F$4, _xlfn.RANK.EQ(E17,$E$14:$E$23,0)),
    IF(E17&gt;='Tabla anual'!$F$5, 1, 0)
  )
)</f>
        <v>4</v>
      </c>
      <c r="I17" s="32">
        <f t="shared" si="4"/>
        <v>10</v>
      </c>
    </row>
    <row r="18">
      <c r="A18" s="37">
        <v>5.0</v>
      </c>
      <c r="B18" s="10" t="s">
        <v>10</v>
      </c>
      <c r="C18" s="10" t="s">
        <v>34</v>
      </c>
      <c r="D18" s="10">
        <v>9.0</v>
      </c>
      <c r="E18" s="42">
        <f t="shared" si="2"/>
        <v>4</v>
      </c>
      <c r="F18" s="11">
        <f t="shared" si="3"/>
        <v>3</v>
      </c>
      <c r="G18" s="11">
        <f>IFERROR(__xludf.DUMMYFUNCTION("IF(
  D18="""",
  """",
  LET(
    cant, D18,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8" s="11">
        <f t="array" ref="H18">IF(
  E18=0,
  0,
  IF(
    _xlfn.RANK.EQ(E18,$E$14:$E$23,0)&lt;=3,
    INDEX('Tabla anual'!$F$2:$F$4, _xlfn.RANK.EQ(E18,$E$14:$E$23,0)),
    IF(E18&gt;='Tabla anual'!$F$5, 1, 0)
  )
)</f>
        <v>2</v>
      </c>
      <c r="I18" s="32">
        <f t="shared" si="4"/>
        <v>6</v>
      </c>
    </row>
    <row r="19">
      <c r="A19" s="33">
        <v>6.0</v>
      </c>
      <c r="B19" s="65" t="s">
        <v>14</v>
      </c>
      <c r="C19" s="65" t="s">
        <v>45</v>
      </c>
      <c r="D19" s="65">
        <v>7.0</v>
      </c>
      <c r="E19" s="30">
        <f t="shared" si="2"/>
        <v>4</v>
      </c>
      <c r="F19" s="31">
        <f t="shared" si="3"/>
        <v>4</v>
      </c>
      <c r="G19" s="31">
        <f>IFERROR(__xludf.DUMMYFUNCTION("IF(
  D19="""",
  """",
  LET(
    cant, D19,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9" s="31">
        <f t="array" ref="H19">IF(
  E19=0,
  0,
  IF(
    _xlfn.RANK.EQ(E19,$E$14:$E$23,0)&lt;=3,
    INDEX('Tabla anual'!$F$2:$F$4, _xlfn.RANK.EQ(E19,$E$14:$E$23,0)),
    IF(E19&gt;='Tabla anual'!$F$5, 1, 0)
  )
)</f>
        <v>2</v>
      </c>
      <c r="I19" s="32">
        <f t="shared" si="4"/>
        <v>7</v>
      </c>
    </row>
    <row r="20">
      <c r="A20" s="37">
        <v>7.0</v>
      </c>
      <c r="B20" s="10" t="s">
        <v>18</v>
      </c>
      <c r="C20" s="10" t="s">
        <v>45</v>
      </c>
      <c r="D20" s="10">
        <v>6.0</v>
      </c>
      <c r="E20" s="42">
        <f t="shared" si="2"/>
        <v>4</v>
      </c>
      <c r="F20" s="11">
        <f t="shared" si="3"/>
        <v>4</v>
      </c>
      <c r="G20" s="11">
        <f>IFERROR(__xludf.DUMMYFUNCTION("IF(
  D20="""",
  """",
  LET(
    cant, D20,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0" s="11">
        <f t="array" ref="H20">IF(
  E20=0,
  0,
  IF(
    _xlfn.RANK.EQ(E20,$E$14:$E$23,0)&lt;=3,
    INDEX('Tabla anual'!$F$2:$F$4, _xlfn.RANK.EQ(E20,$E$14:$E$23,0)),
    IF(E20&gt;='Tabla anual'!$F$5, 1, 0)
  )
)</f>
        <v>2</v>
      </c>
      <c r="I20" s="32">
        <f t="shared" si="4"/>
        <v>6</v>
      </c>
    </row>
    <row r="21">
      <c r="A21" s="37">
        <v>8.0</v>
      </c>
      <c r="B21" s="10" t="s">
        <v>11</v>
      </c>
      <c r="C21" s="10" t="s">
        <v>34</v>
      </c>
      <c r="D21" s="10">
        <v>4.0</v>
      </c>
      <c r="E21" s="42">
        <f t="shared" si="2"/>
        <v>1</v>
      </c>
      <c r="F21" s="11">
        <f t="shared" si="3"/>
        <v>3</v>
      </c>
      <c r="G21" s="11">
        <f>IFERROR(__xludf.DUMMYFUNCTION("IF(
  D21="""",
  """",
  LET(
    cant, D21,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1" s="11">
        <f t="array" ref="H21">IF(
  E21=0,
  0,
  IF(
    _xlfn.RANK.EQ(E21,$E$14:$E$23,0)&lt;=3,
    INDEX('Tabla anual'!$F$2:$F$4, _xlfn.RANK.EQ(E21,$E$14:$E$23,0)),
    IF(E21&gt;='Tabla anual'!$F$5, 1, 0)
  )
)</f>
        <v>1</v>
      </c>
      <c r="I21" s="32">
        <f t="shared" si="4"/>
        <v>4</v>
      </c>
    </row>
    <row r="22">
      <c r="A22" s="37">
        <v>9.0</v>
      </c>
      <c r="B22" s="10" t="s">
        <v>9</v>
      </c>
      <c r="C22" s="10" t="s">
        <v>45</v>
      </c>
      <c r="D22" s="10">
        <v>2.0</v>
      </c>
      <c r="E22" s="42">
        <f t="shared" si="2"/>
        <v>1</v>
      </c>
      <c r="F22" s="11">
        <f t="shared" si="3"/>
        <v>4</v>
      </c>
      <c r="G22" s="11">
        <f>IFERROR(__xludf.DUMMYFUNCTION("IF(
  D22="""",
  """",
  LET(
    cant, D22,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2" s="11">
        <f t="array" ref="H22">IF(
  E22=0,
  0,
  IF(
    _xlfn.RANK.EQ(E22,$E$14:$E$23,0)&lt;=3,
    INDEX('Tabla anual'!$F$2:$F$4, _xlfn.RANK.EQ(E22,$E$14:$E$23,0)),
    IF(E22&gt;='Tabla anual'!$F$5, 1, 0)
  )
)</f>
        <v>1</v>
      </c>
      <c r="I22" s="32">
        <f t="shared" si="4"/>
        <v>5</v>
      </c>
    </row>
    <row r="23">
      <c r="A23" s="37">
        <v>10.0</v>
      </c>
      <c r="B23" s="10" t="s">
        <v>15</v>
      </c>
      <c r="C23" s="10" t="s">
        <v>35</v>
      </c>
      <c r="D23" s="10">
        <v>0.0</v>
      </c>
      <c r="E23" s="42">
        <f t="shared" si="2"/>
        <v>0</v>
      </c>
      <c r="F23" s="11">
        <f t="shared" si="3"/>
        <v>2</v>
      </c>
      <c r="G23" s="11">
        <f>IFERROR(__xludf.DUMMYFUNCTION("IF(
  D23="""",
  """",
  LET(
    cant, D23,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3" s="11">
        <f t="array" ref="H23">IF(
  E23=0,
  0,
  IF(
    _xlfn.RANK.EQ(E23,$E$14:$E$23,0)&lt;=3,
    INDEX('Tabla anual'!$F$2:$F$4, _xlfn.RANK.EQ(E23,$E$14:$E$23,0)),
    IF(E23&gt;='Tabla anual'!$F$5, 1, 0)
  )
)</f>
        <v>0</v>
      </c>
      <c r="I23" s="32">
        <f t="shared" si="4"/>
        <v>2</v>
      </c>
    </row>
    <row r="24">
      <c r="A24" s="37">
        <v>11.0</v>
      </c>
      <c r="B24" s="37" t="s">
        <v>12</v>
      </c>
      <c r="C24" s="10" t="s">
        <v>34</v>
      </c>
      <c r="D24" s="55">
        <v>0.0</v>
      </c>
      <c r="E24" s="42">
        <f t="shared" si="2"/>
        <v>0</v>
      </c>
      <c r="F24" s="11">
        <f t="shared" si="3"/>
        <v>3</v>
      </c>
      <c r="G24" s="11">
        <f>IFERROR(__xludf.DUMMYFUNCTION("IF(
  D24="""",
  """",
  LET(
    cant, D24,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4" s="11">
        <f t="array" ref="H24">IF(
  E24=0,
  0,
  IF(
    _xlfn.RANK.EQ(E24,$E$14:$E$23,0)&lt;=3,
    INDEX('Tabla anual'!$F$2:$F$4, _xlfn.RANK.EQ(E24,$E$14:$E$23,0)),
    IF(E24&gt;='Tabla anual'!$F$5, 1, 0)
  )
)</f>
        <v>0</v>
      </c>
      <c r="I24" s="32">
        <f t="shared" si="4"/>
        <v>3</v>
      </c>
    </row>
    <row r="37">
      <c r="H37" s="21">
        <f>D16+D18+D21</f>
        <v>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25"/>
    <col customWidth="1" min="3" max="3" width="16.7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50</v>
      </c>
    </row>
    <row r="2">
      <c r="A2" s="9" t="s">
        <v>24</v>
      </c>
      <c r="B2" s="19">
        <v>46042.416666666664</v>
      </c>
    </row>
    <row r="3">
      <c r="A3" s="9" t="s">
        <v>25</v>
      </c>
      <c r="B3" s="19">
        <v>46048.916666666664</v>
      </c>
    </row>
    <row r="4">
      <c r="A4" s="9" t="s">
        <v>26</v>
      </c>
      <c r="B4" s="21">
        <f>(B3-B2)*24</f>
        <v>156</v>
      </c>
    </row>
    <row r="5">
      <c r="A5" s="9" t="s">
        <v>44</v>
      </c>
      <c r="B5" s="21">
        <f>75/B4</f>
        <v>0.4807692308</v>
      </c>
    </row>
    <row r="6">
      <c r="A6" s="9" t="s">
        <v>28</v>
      </c>
      <c r="B6" s="3">
        <f>(30*3)/11</f>
        <v>8.181818182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35</v>
      </c>
      <c r="B9" s="3">
        <v>1.0</v>
      </c>
      <c r="C9" s="19">
        <v>46043.54027777778</v>
      </c>
      <c r="D9" s="21">
        <f t="shared" ref="D9:D11" si="1">(C9-$B$2)*24</f>
        <v>26.96666667</v>
      </c>
      <c r="E9" s="25">
        <f>'Tabla anual'!B2</f>
        <v>4</v>
      </c>
    </row>
    <row r="10">
      <c r="A10" s="3" t="s">
        <v>34</v>
      </c>
      <c r="B10" s="3">
        <v>2.0</v>
      </c>
      <c r="C10" s="19">
        <v>46043.77916666667</v>
      </c>
      <c r="D10" s="21">
        <f t="shared" si="1"/>
        <v>32.7</v>
      </c>
      <c r="E10" s="25">
        <f>'Tabla anual'!B3</f>
        <v>3</v>
      </c>
    </row>
    <row r="11">
      <c r="A11" s="3" t="s">
        <v>45</v>
      </c>
      <c r="B11" s="3">
        <v>3.0</v>
      </c>
      <c r="C11" s="19">
        <v>46043.88125</v>
      </c>
      <c r="D11" s="21">
        <f t="shared" si="1"/>
        <v>35.15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65" t="s">
        <v>13</v>
      </c>
      <c r="C14" s="65" t="s">
        <v>34</v>
      </c>
      <c r="D14" s="65">
        <v>15.0</v>
      </c>
      <c r="E14" s="30">
        <f>IFERROR(
  FLOOR(
    (D14 / VLOOKUP(C14, $A$9:$E$11, 4, FALSE)) / $B$5
  ,1),
  0
)</f>
        <v>0</v>
      </c>
      <c r="F14" s="31">
        <f t="shared" ref="F14:F24" si="2">VLOOKUP(C14, $A$9:$E$11, 5, FALSE)</f>
        <v>3</v>
      </c>
      <c r="G14" s="31">
        <f>IFERROR(__xludf.DUMMYFUNCTION("IF(
  D14="""",
  """",
  LET(
    cant, D14,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4" s="31">
        <f t="array" ref="H14">IF(
  E14=0,
  0,
  IF(
    _xlfn.RANK.EQ(E14,$E$14:$E$24,0)&lt;=3,
    INDEX('Tabla anual'!$F$2:$F$4, _xlfn.RANK.EQ(E14,$E$14:$E$24,0)),
    IF(E14&gt;='Tabla anual'!$F$5, 1, 0)
  )
)</f>
        <v>0</v>
      </c>
      <c r="I14" s="32">
        <f t="shared" ref="I14:I24" si="3">sum(F14:H14)</f>
        <v>7</v>
      </c>
    </row>
    <row r="15">
      <c r="A15" s="33">
        <v>2.0</v>
      </c>
      <c r="B15" s="65" t="s">
        <v>18</v>
      </c>
      <c r="C15" s="65" t="s">
        <v>45</v>
      </c>
      <c r="D15" s="65">
        <f>17-2-1</f>
        <v>14</v>
      </c>
      <c r="E15" s="30">
        <f t="shared" ref="E15:E19" si="4">IFERROR(
  FLOOR(
    (#REF! / VLOOKUP(#REF!, $A$9:$E$11, 4, FALSE)) / $B$5
  ,1),
  0
)</f>
        <v>0</v>
      </c>
      <c r="F15" s="31">
        <f t="shared" si="2"/>
        <v>2</v>
      </c>
      <c r="G15" s="31">
        <f>IFERROR(__xludf.DUMMYFUNCTION("IF(
  D15="""",
  """",
  LET(
    cant, D15,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5" s="31">
        <f t="array" ref="H15">IF(
  E15=0,
  0,
  IF(
    _xlfn.RANK.EQ(E15,$E$14:$E$24,0)&lt;=3,
    INDEX('Tabla anual'!$F$2:$F$4, _xlfn.RANK.EQ(E15,$E$14:$E$24,0)),
    IF(E15&gt;='Tabla anual'!$F$5, 1, 0)
  )
)</f>
        <v>0</v>
      </c>
      <c r="I15" s="32">
        <f t="shared" si="3"/>
        <v>5</v>
      </c>
    </row>
    <row r="16">
      <c r="A16" s="33">
        <v>3.0</v>
      </c>
      <c r="B16" s="65" t="s">
        <v>14</v>
      </c>
      <c r="C16" s="65" t="s">
        <v>35</v>
      </c>
      <c r="D16" s="65">
        <v>14.0</v>
      </c>
      <c r="E16" s="30">
        <f t="shared" si="4"/>
        <v>0</v>
      </c>
      <c r="F16" s="31">
        <f t="shared" si="2"/>
        <v>4</v>
      </c>
      <c r="G16" s="31">
        <f>IFERROR(__xludf.DUMMYFUNCTION("IF(
  D16="""",
  """",
  LET(
    cant, D16,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6" s="31">
        <f t="array" ref="H16">IF(
  E16=0,
  0,
  IF(
    _xlfn.RANK.EQ(E16,$E$14:$E$24,0)&lt;=3,
    INDEX('Tabla anual'!$F$2:$F$4, _xlfn.RANK.EQ(E16,$E$14:$E$24,0)),
    IF(E16&gt;='Tabla anual'!$F$5, 1, 0)
  )
)</f>
        <v>0</v>
      </c>
      <c r="I16" s="32">
        <f t="shared" si="3"/>
        <v>7</v>
      </c>
    </row>
    <row r="17">
      <c r="A17" s="33">
        <v>4.0</v>
      </c>
      <c r="B17" s="65" t="s">
        <v>16</v>
      </c>
      <c r="C17" s="65" t="s">
        <v>34</v>
      </c>
      <c r="D17" s="65">
        <v>10.0</v>
      </c>
      <c r="E17" s="30">
        <f t="shared" si="4"/>
        <v>0</v>
      </c>
      <c r="F17" s="31">
        <f t="shared" si="2"/>
        <v>3</v>
      </c>
      <c r="G17" s="31">
        <f>IFERROR(__xludf.DUMMYFUNCTION("IF(
  D17="""",
  """",
  LET(
    cant, D17,
    rango, FILTER($D$14:$D$24, $D$14:$D$24&lt;&gt;""""),
    puestos, SORT(UNIQUE(rango), 1, FALSE),
    puesto, MATCH(cant, puestos, 0),
    IF(
      puesto&lt;=3,
      VLOOKUP(puesto, 'Tabla anual'!$C$2:$D$4, 2, FA"&amp;"LSE),
      IF(cant&gt;=$B$6, 1, 0)
    )
  )
)"),2.0)</f>
        <v>2</v>
      </c>
      <c r="H17" s="31">
        <f t="array" ref="H17">IF(
  E17=0,
  0,
  IF(
    _xlfn.RANK.EQ(E17,$E$14:$E$24,0)&lt;=3,
    INDEX('Tabla anual'!$F$2:$F$4, _xlfn.RANK.EQ(E17,$E$14:$E$24,0)),
    IF(E17&gt;='Tabla anual'!$F$5, 1, 0)
  )
)</f>
        <v>0</v>
      </c>
      <c r="I17" s="32">
        <f t="shared" si="3"/>
        <v>5</v>
      </c>
    </row>
    <row r="18">
      <c r="A18" s="33">
        <v>5.0</v>
      </c>
      <c r="B18" s="65" t="s">
        <v>10</v>
      </c>
      <c r="C18" s="65" t="s">
        <v>35</v>
      </c>
      <c r="D18" s="65">
        <v>9.0</v>
      </c>
      <c r="E18" s="30">
        <f t="shared" si="4"/>
        <v>0</v>
      </c>
      <c r="F18" s="31">
        <f t="shared" si="2"/>
        <v>4</v>
      </c>
      <c r="G18" s="31">
        <f>IFERROR(__xludf.DUMMYFUNCTION("IF(
  D18="""",
  """",
  LET(
    cant, D18,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8" s="31">
        <f t="array" ref="H18">IF(
  E18=0,
  0,
  IF(
    _xlfn.RANK.EQ(E18,$E$14:$E$24,0)&lt;=3,
    INDEX('Tabla anual'!$F$2:$F$4, _xlfn.RANK.EQ(E18,$E$14:$E$24,0)),
    IF(E18&gt;='Tabla anual'!$F$5, 1, 0)
  )
)</f>
        <v>0</v>
      </c>
      <c r="I18" s="32">
        <f t="shared" si="3"/>
        <v>5</v>
      </c>
    </row>
    <row r="19">
      <c r="A19" s="34">
        <v>6.0</v>
      </c>
      <c r="B19" s="66" t="s">
        <v>11</v>
      </c>
      <c r="C19" s="66" t="s">
        <v>45</v>
      </c>
      <c r="D19" s="66">
        <v>9.0</v>
      </c>
      <c r="E19" s="35">
        <f t="shared" si="4"/>
        <v>0</v>
      </c>
      <c r="F19" s="36">
        <f t="shared" si="2"/>
        <v>2</v>
      </c>
      <c r="G19" s="36">
        <f>IFERROR(__xludf.DUMMYFUNCTION("IF(
  D19="""",
  """",
  LET(
    cant, D19,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9" s="36">
        <f t="array" ref="H19">IF(
  E19=0,
  0,
  IF(
    _xlfn.RANK.EQ(E19,$E$14:$E$24,0)&lt;=3,
    INDEX('Tabla anual'!$F$2:$F$4, _xlfn.RANK.EQ(E19,$E$14:$E$24,0)),
    IF(E19&gt;='Tabla anual'!$F$5, 1, 0)
  )
)</f>
        <v>0</v>
      </c>
      <c r="I19" s="32">
        <f t="shared" si="3"/>
        <v>3</v>
      </c>
    </row>
    <row r="20">
      <c r="A20" s="33">
        <v>7.0</v>
      </c>
      <c r="B20" s="65" t="s">
        <v>19</v>
      </c>
      <c r="C20" s="65" t="s">
        <v>35</v>
      </c>
      <c r="D20" s="65">
        <v>7.0</v>
      </c>
      <c r="E20" s="30">
        <f>IFERROR(
  FLOOR(
    (D20 / VLOOKUP(C20, $A$9:$E$11, 4, FALSE)) / $B$5
  ,1),
  0
)</f>
        <v>0</v>
      </c>
      <c r="F20" s="31">
        <f t="shared" si="2"/>
        <v>4</v>
      </c>
      <c r="G20" s="31">
        <f>IFERROR(__xludf.DUMMYFUNCTION("IF(
  D20="""",
  """",
  LET(
    cant, D20,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0" s="31">
        <f t="array" ref="H20">IF(
  E20=0,
  0,
  IF(
    _xlfn.RANK.EQ(E20,$E$14:$E$24,0)&lt;=3,
    INDEX('Tabla anual'!$F$2:$F$4, _xlfn.RANK.EQ(E20,$E$14:$E$24,0)),
    IF(E20&gt;='Tabla anual'!$F$5, 1, 0)
  )
)</f>
        <v>0</v>
      </c>
      <c r="I20" s="32">
        <f t="shared" si="3"/>
        <v>4</v>
      </c>
    </row>
    <row r="21">
      <c r="A21" s="34">
        <v>8.0</v>
      </c>
      <c r="B21" s="66" t="s">
        <v>17</v>
      </c>
      <c r="C21" s="66" t="s">
        <v>45</v>
      </c>
      <c r="D21" s="66">
        <v>6.0</v>
      </c>
      <c r="E21" s="35">
        <f t="shared" ref="E21:E22" si="5">IFERROR(
  FLOOR(
    (#REF! / VLOOKUP(#REF!, $A$9:$E$11, 4, FALSE)) / $B$5
  ,1),
  0
)</f>
        <v>0</v>
      </c>
      <c r="F21" s="36">
        <f t="shared" si="2"/>
        <v>2</v>
      </c>
      <c r="G21" s="36">
        <f>IFERROR(__xludf.DUMMYFUNCTION("IF(
  D21="""",
  """",
  LET(
    cant, D21,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1" s="36">
        <f t="array" ref="H21">IF(
  E21=0,
  0,
  IF(
    _xlfn.RANK.EQ(E21,$E$14:$E$24,0)&lt;=3,
    INDEX('Tabla anual'!$F$2:$F$4, _xlfn.RANK.EQ(E21,$E$14:$E$24,0)),
    IF(E21&gt;='Tabla anual'!$F$5, 1, 0)
  )
)</f>
        <v>0</v>
      </c>
      <c r="I21" s="32">
        <f t="shared" si="3"/>
        <v>2</v>
      </c>
    </row>
    <row r="22">
      <c r="A22" s="34">
        <v>9.0</v>
      </c>
      <c r="B22" s="66" t="s">
        <v>12</v>
      </c>
      <c r="C22" s="66" t="s">
        <v>45</v>
      </c>
      <c r="D22" s="66">
        <v>4.0</v>
      </c>
      <c r="E22" s="35">
        <f t="shared" si="5"/>
        <v>0</v>
      </c>
      <c r="F22" s="36">
        <f t="shared" si="2"/>
        <v>2</v>
      </c>
      <c r="G22" s="36">
        <f>IFERROR(__xludf.DUMMYFUNCTION("IF(
  D22="""",
  """",
  LET(
    cant, D22,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2" s="36">
        <f t="array" ref="H22">IF(
  E22=0,
  0,
  IF(
    _xlfn.RANK.EQ(E22,$E$14:$E$24,0)&lt;=3,
    INDEX('Tabla anual'!$F$2:$F$4, _xlfn.RANK.EQ(E22,$E$14:$E$24,0)),
    IF(E22&gt;='Tabla anual'!$F$5, 1, 0)
  )
)</f>
        <v>0</v>
      </c>
      <c r="I22" s="32">
        <f t="shared" si="3"/>
        <v>2</v>
      </c>
    </row>
    <row r="23">
      <c r="A23" s="34">
        <v>10.0</v>
      </c>
      <c r="B23" s="66" t="s">
        <v>15</v>
      </c>
      <c r="C23" s="66" t="s">
        <v>45</v>
      </c>
      <c r="D23" s="66">
        <v>2.0</v>
      </c>
      <c r="E23" s="35">
        <f t="shared" ref="E23:E24" si="6">IFERROR(
  FLOOR(
    (D23 / VLOOKUP(C23, $A$9:$E$11, 4, FALSE)) / $B$5
  ,1),
  0
)</f>
        <v>0</v>
      </c>
      <c r="F23" s="36">
        <f t="shared" si="2"/>
        <v>2</v>
      </c>
      <c r="G23" s="36">
        <f>IFERROR(__xludf.DUMMYFUNCTION("IF(
  D23="""",
  """",
  LET(
    cant, D23,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3" s="36">
        <f t="array" ref="H23">IF(
  E23=0,
  0,
  IF(
    _xlfn.RANK.EQ(E23,$E$14:$E$24,0)&lt;=3,
    INDEX('Tabla anual'!$F$2:$F$4, _xlfn.RANK.EQ(E23,$E$14:$E$24,0)),
    IF(E23&gt;='Tabla anual'!$F$5, 1, 0)
  )
)</f>
        <v>0</v>
      </c>
      <c r="I23" s="32">
        <f t="shared" si="3"/>
        <v>2</v>
      </c>
    </row>
    <row r="24">
      <c r="A24" s="34">
        <v>11.0</v>
      </c>
      <c r="B24" s="34" t="s">
        <v>9</v>
      </c>
      <c r="C24" s="66" t="s">
        <v>34</v>
      </c>
      <c r="D24" s="52">
        <v>0.0</v>
      </c>
      <c r="E24" s="35">
        <f t="shared" si="6"/>
        <v>0</v>
      </c>
      <c r="F24" s="36">
        <f t="shared" si="2"/>
        <v>3</v>
      </c>
      <c r="G24" s="36">
        <f>IFERROR(__xludf.DUMMYFUNCTION("IF(
  D24="""",
  """",
  LET(
    cant, D24,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4" s="36">
        <f t="array" ref="H24">IF(
  E24=0,
  0,
  IF(
    _xlfn.RANK.EQ(E24,$E$14:$E$24,0)&lt;=3,
    INDEX('Tabla anual'!$F$2:$F$4, _xlfn.RANK.EQ(E24,$E$14:$E$24,0)),
    IF(E24&gt;='Tabla anual'!$F$5, 1, 0)
  )
)</f>
        <v>0</v>
      </c>
      <c r="I24" s="32">
        <f t="shared" si="3"/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88"/>
    <col customWidth="1" min="3" max="3" width="16.75"/>
    <col customWidth="1" min="4" max="4" width="11.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51</v>
      </c>
    </row>
    <row r="2">
      <c r="A2" s="9" t="s">
        <v>24</v>
      </c>
      <c r="B2" s="19">
        <v>46049.416666666664</v>
      </c>
    </row>
    <row r="3">
      <c r="A3" s="9" t="s">
        <v>25</v>
      </c>
      <c r="B3" s="19">
        <v>46055.916666666664</v>
      </c>
    </row>
    <row r="4">
      <c r="A4" s="9" t="s">
        <v>26</v>
      </c>
      <c r="B4" s="21">
        <f>(B3-B2)*24</f>
        <v>156</v>
      </c>
    </row>
    <row r="5">
      <c r="A5" s="9" t="s">
        <v>44</v>
      </c>
      <c r="B5" s="21">
        <f>500/B4</f>
        <v>3.205128205</v>
      </c>
    </row>
    <row r="6">
      <c r="A6" s="9" t="s">
        <v>28</v>
      </c>
      <c r="B6" s="3">
        <f>(500*3)/11</f>
        <v>136.3636364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34</v>
      </c>
      <c r="B9" s="3">
        <v>1.0</v>
      </c>
      <c r="C9" s="19">
        <v>46049.76527777778</v>
      </c>
      <c r="D9" s="21">
        <f t="shared" ref="D9:D11" si="1">(C9-$B$2)*24</f>
        <v>8.366666667</v>
      </c>
      <c r="E9" s="25">
        <f>'Tabla anual'!B2</f>
        <v>4</v>
      </c>
    </row>
    <row r="10">
      <c r="A10" s="3" t="s">
        <v>35</v>
      </c>
      <c r="B10" s="3">
        <v>2.0</v>
      </c>
      <c r="C10" s="19">
        <v>46050.92291666667</v>
      </c>
      <c r="D10" s="21">
        <f t="shared" si="1"/>
        <v>36.15</v>
      </c>
      <c r="E10" s="25">
        <f>'Tabla anual'!B3</f>
        <v>3</v>
      </c>
    </row>
    <row r="11">
      <c r="A11" s="3" t="s">
        <v>45</v>
      </c>
      <c r="B11" s="3">
        <v>3.0</v>
      </c>
      <c r="C11" s="19">
        <v>46050.986805555556</v>
      </c>
      <c r="D11" s="21">
        <f t="shared" si="1"/>
        <v>37.68333333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65" t="s">
        <v>19</v>
      </c>
      <c r="C14" s="65" t="s">
        <v>45</v>
      </c>
      <c r="D14" s="65">
        <f>254-4</f>
        <v>250</v>
      </c>
      <c r="E14" s="30">
        <f t="shared" ref="E14:E24" si="2">IFERROR(
  FLOOR(
    (D14 / VLOOKUP(C14, $A$9:$E$11, 4, FALSE)) / $B$5
  ,1),
  0
)</f>
        <v>2</v>
      </c>
      <c r="F14" s="31">
        <f t="shared" ref="F14:F24" si="3">VLOOKUP(C14, $A$9:$E$11, 5, FALSE)</f>
        <v>2</v>
      </c>
      <c r="G14" s="31">
        <f>IFERROR(__xludf.DUMMYFUNCTION("IF(
  D14="""",
  """",
  LET(
    cant, D14,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4" s="31">
        <f t="array" ref="H14">IF(
  $E14=0,
  0,
  IFERROR(
    VLOOKUP(
      1+SUMPRODUCT(--(FREQUENCY(
        IF($E$14:$E$24&gt;$E14, MATCH($E$14:$E$24, $E$14:$E$24, 0)),
        ROW($E$14:$E$24)-ROW($E$14)+1
      )&gt;0)),
      'Tabla anual'!$E$2:$F$4,
      2,
      FALSE
    ),
    IF($E14&gt;='Tabla anual'!$F$5, 1, 0)
  )
)</f>
        <v>2</v>
      </c>
      <c r="I14" s="32">
        <f t="shared" ref="I14:I24" si="4">sum(F14:H14)</f>
        <v>8</v>
      </c>
    </row>
    <row r="15">
      <c r="A15" s="33">
        <v>2.0</v>
      </c>
      <c r="B15" s="65" t="s">
        <v>11</v>
      </c>
      <c r="C15" s="65" t="s">
        <v>35</v>
      </c>
      <c r="D15" s="65">
        <v>213.0</v>
      </c>
      <c r="E15" s="30">
        <f t="shared" si="2"/>
        <v>1</v>
      </c>
      <c r="F15" s="31">
        <f t="shared" si="3"/>
        <v>3</v>
      </c>
      <c r="G15" s="31">
        <f>IFERROR(__xludf.DUMMYFUNCTION("IF(
  D15="""",
  """",
  LET(
    cant, D15,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5" s="31">
        <f t="array" ref="H15">IF(
  $E15=0,
  0,
  IFERROR(
    VLOOKUP(
      1+SUMPRODUCT(--(FREQUENCY(
        IF($E$14:$E$24&gt;$E15, MATCH($E$14:$E$24, $E$14:$E$24, 0)),
        ROW($E$14:$E$24)-ROW($E$14)+1
      )&gt;0)),
      'Tabla anual'!$E$2:$F$4,
      2,
      FALSE
    ),
    IF($E15&gt;='Tabla anual'!$F$5, 1, 0)
  )
)</f>
        <v>1</v>
      </c>
      <c r="I15" s="32">
        <f t="shared" si="4"/>
        <v>7</v>
      </c>
    </row>
    <row r="16">
      <c r="A16" s="33">
        <v>3.0</v>
      </c>
      <c r="B16" s="65" t="s">
        <v>16</v>
      </c>
      <c r="C16" s="65" t="s">
        <v>34</v>
      </c>
      <c r="D16" s="65">
        <v>198.0</v>
      </c>
      <c r="E16" s="30">
        <f t="shared" si="2"/>
        <v>7</v>
      </c>
      <c r="F16" s="31">
        <f t="shared" si="3"/>
        <v>4</v>
      </c>
      <c r="G16" s="31">
        <f>IFERROR(__xludf.DUMMYFUNCTION("IF(
  D16="""",
  """",
  LET(
    cant, D16,
    rango, FILTER($D$14:$D$24, $D$14:$D$24&lt;&gt;""""),
    puestos, SORT(UNIQUE(rango), 1, FALSE),
    puesto, MATCH(cant, puestos, 0),
    IF(
      puesto&lt;=3,
      VLOOKUP(puesto, 'Tabla anual'!$C$2:$D$4, 2, FA"&amp;"LSE),
      IF(cant&gt;=$B$6, 1, 0)
    )
  )
)"),2.0)</f>
        <v>2</v>
      </c>
      <c r="H16" s="31">
        <f t="array" ref="H16">IF(
  $E16=0,
  0,
  IFERROR(
    VLOOKUP(
      1+SUMPRODUCT(--(FREQUENCY(
        IF($E$14:$E$24&gt;$E16, MATCH($E$14:$E$24, $E$14:$E$24, 0)),
        ROW($E$14:$E$24)-ROW($E$14)+1
      )&gt;0)),
      'Tabla anual'!$E$2:$F$4,
      2,
      FALSE
    ),
    IF($E16&gt;='Tabla anual'!$F$5, 1, 0)
  )
)</f>
        <v>4</v>
      </c>
      <c r="I16" s="32">
        <f t="shared" si="4"/>
        <v>10</v>
      </c>
    </row>
    <row r="17">
      <c r="A17" s="37">
        <v>4.0</v>
      </c>
      <c r="B17" s="10" t="s">
        <v>17</v>
      </c>
      <c r="C17" s="10" t="s">
        <v>45</v>
      </c>
      <c r="D17" s="10">
        <f>166+1</f>
        <v>167</v>
      </c>
      <c r="E17" s="42">
        <f t="shared" si="2"/>
        <v>1</v>
      </c>
      <c r="F17" s="11">
        <f t="shared" si="3"/>
        <v>2</v>
      </c>
      <c r="G17" s="11">
        <f>IFERROR(__xludf.DUMMYFUNCTION("IF(
  D17="""",
  """",
  LET(
    cant, D17,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7" s="11">
        <f t="array" ref="H17">IF(
  $E17=0,
  0,
  IFERROR(
    VLOOKUP(
      1+SUMPRODUCT(--(FREQUENCY(
        IF($E$14:$E$24&gt;$E17, MATCH($E$14:$E$24, $E$14:$E$24, 0)),
        ROW($E$14:$E$24)-ROW($E$14)+1
      )&gt;0)),
      'Tabla anual'!$E$2:$F$4,
      2,
      FALSE
    ),
    IF($E17&gt;='Tabla anual'!$F$5, 1, 0)
  )
)</f>
        <v>1</v>
      </c>
      <c r="I17" s="32">
        <f t="shared" si="4"/>
        <v>4</v>
      </c>
    </row>
    <row r="18">
      <c r="A18" s="37">
        <v>5.0</v>
      </c>
      <c r="B18" s="10" t="s">
        <v>18</v>
      </c>
      <c r="C18" s="10" t="s">
        <v>35</v>
      </c>
      <c r="D18" s="10">
        <v>156.0</v>
      </c>
      <c r="E18" s="42">
        <f t="shared" si="2"/>
        <v>1</v>
      </c>
      <c r="F18" s="11">
        <f t="shared" si="3"/>
        <v>3</v>
      </c>
      <c r="G18" s="11">
        <f>IFERROR(__xludf.DUMMYFUNCTION("IF(
  D18="""",
  """",
  LET(
    cant, D18,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8" s="11">
        <f t="array" ref="H18">IF(
  $E18=0,
  0,
  IFERROR(
    VLOOKUP(
      1+SUMPRODUCT(--(FREQUENCY(
        IF($E$14:$E$24&gt;$E18, MATCH($E$14:$E$24, $E$14:$E$24, 0)),
        ROW($E$14:$E$24)-ROW($E$14)+1
      )&gt;0)),
      'Tabla anual'!$E$2:$F$4,
      2,
      FALSE
    ),
    IF($E18&gt;='Tabla anual'!$F$5, 1, 0)
  )
)</f>
        <v>1</v>
      </c>
      <c r="I18" s="32">
        <f t="shared" si="4"/>
        <v>5</v>
      </c>
    </row>
    <row r="19">
      <c r="A19" s="33">
        <v>6.0</v>
      </c>
      <c r="B19" s="65" t="s">
        <v>13</v>
      </c>
      <c r="C19" s="65" t="s">
        <v>34</v>
      </c>
      <c r="D19" s="65">
        <v>126.0</v>
      </c>
      <c r="E19" s="30">
        <f t="shared" si="2"/>
        <v>4</v>
      </c>
      <c r="F19" s="31">
        <f t="shared" si="3"/>
        <v>4</v>
      </c>
      <c r="G19" s="31">
        <f>IFERROR(__xludf.DUMMYFUNCTION("IF(
  D19="""",
  """",
  LET(
    cant, D19,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19" s="31">
        <f t="array" ref="H19">IF(
  $E19=0,
  0,
  IFERROR(
    VLOOKUP(
      1+SUMPRODUCT(--(FREQUENCY(
        IF($E$14:$E$24&gt;$E19, MATCH($E$14:$E$24, $E$14:$E$24, 0)),
        ROW($E$14:$E$24)-ROW($E$14)+1
      )&gt;0)),
      'Tabla anual'!$E$2:$F$4,
      2,
      FALSE
    ),
    IF($E19&gt;='Tabla anual'!$F$5, 1, 0)
  )
)</f>
        <v>3</v>
      </c>
      <c r="I19" s="32">
        <f t="shared" si="4"/>
        <v>7</v>
      </c>
    </row>
    <row r="20">
      <c r="A20" s="33">
        <v>7.0</v>
      </c>
      <c r="B20" s="65" t="s">
        <v>14</v>
      </c>
      <c r="C20" s="65" t="s">
        <v>34</v>
      </c>
      <c r="D20" s="65">
        <v>120.0</v>
      </c>
      <c r="E20" s="30">
        <f t="shared" si="2"/>
        <v>4</v>
      </c>
      <c r="F20" s="31">
        <f t="shared" si="3"/>
        <v>4</v>
      </c>
      <c r="G20" s="31">
        <f>IFERROR(__xludf.DUMMYFUNCTION("IF(
  D20="""",
  """",
  LET(
    cant, D20,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0" s="31">
        <f t="array" ref="H20">IF(
  $E20=0,
  0,
  IFERROR(
    VLOOKUP(
      1+SUMPRODUCT(--(FREQUENCY(
        IF($E$14:$E$24&gt;$E20, MATCH($E$14:$E$24, $E$14:$E$24, 0)),
        ROW($E$14:$E$24)-ROW($E$14)+1
      )&gt;0)),
      'Tabla anual'!$E$2:$F$4,
      2,
      FALSE
    ),
    IF($E20&gt;='Tabla anual'!$F$5, 1, 0)
  )
)</f>
        <v>3</v>
      </c>
      <c r="I20" s="32">
        <f t="shared" si="4"/>
        <v>7</v>
      </c>
    </row>
    <row r="21">
      <c r="A21" s="37">
        <v>8.0</v>
      </c>
      <c r="B21" s="10" t="s">
        <v>15</v>
      </c>
      <c r="C21" s="10" t="s">
        <v>35</v>
      </c>
      <c r="D21" s="10">
        <v>71.0</v>
      </c>
      <c r="E21" s="42">
        <f t="shared" si="2"/>
        <v>0</v>
      </c>
      <c r="F21" s="11">
        <f t="shared" si="3"/>
        <v>3</v>
      </c>
      <c r="G21" s="11">
        <f>IFERROR(__xludf.DUMMYFUNCTION("IF(
  D21="""",
  """",
  LET(
    cant, D21,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1" s="11">
        <f t="array" ref="H21">IF(
  $E21=0,
  0,
  IFERROR(
    VLOOKUP(
      1+SUMPRODUCT(--(FREQUENCY(
        IF($E$14:$E$24&gt;$E21, MATCH($E$14:$E$24, $E$14:$E$24, 0)),
        ROW($E$14:$E$24)-ROW($E$14)+1
      )&gt;0)),
      'Tabla anual'!$E$2:$F$4,
      2,
      FALSE
    ),
    IF($E21&gt;='Tabla anual'!$F$5, 1, 0)
  )
)</f>
        <v>0</v>
      </c>
      <c r="I21" s="32">
        <f t="shared" si="4"/>
        <v>3</v>
      </c>
    </row>
    <row r="22">
      <c r="A22" s="37">
        <v>9.0</v>
      </c>
      <c r="B22" s="10" t="s">
        <v>12</v>
      </c>
      <c r="C22" s="10" t="s">
        <v>45</v>
      </c>
      <c r="D22" s="11">
        <f>59+1</f>
        <v>60</v>
      </c>
      <c r="E22" s="42">
        <f t="shared" si="2"/>
        <v>0</v>
      </c>
      <c r="F22" s="11">
        <f t="shared" si="3"/>
        <v>2</v>
      </c>
      <c r="G22" s="11">
        <f>IFERROR(__xludf.DUMMYFUNCTION("IF(
  D22="""",
  """",
  LET(
    cant, D22,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2" s="11">
        <f t="array" ref="H22">IF(
  $E22=0,
  0,
  IFERROR(
    VLOOKUP(
      1+SUMPRODUCT(--(FREQUENCY(
        IF($E$14:$E$24&gt;$E22, MATCH($E$14:$E$24, $E$14:$E$24, 0)),
        ROW($E$14:$E$24)-ROW($E$14)+1
      )&gt;0)),
      'Tabla anual'!$E$2:$F$4,
      2,
      FALSE
    ),
    IF($E22&gt;='Tabla anual'!$F$5, 1, 0)
  )
)</f>
        <v>0</v>
      </c>
      <c r="I22" s="32">
        <f t="shared" si="4"/>
        <v>2</v>
      </c>
    </row>
    <row r="23">
      <c r="A23" s="37">
        <v>10.0</v>
      </c>
      <c r="B23" s="10" t="s">
        <v>10</v>
      </c>
      <c r="C23" s="10" t="s">
        <v>34</v>
      </c>
      <c r="D23" s="10">
        <v>56.0</v>
      </c>
      <c r="E23" s="42">
        <f t="shared" si="2"/>
        <v>2</v>
      </c>
      <c r="F23" s="11">
        <f t="shared" si="3"/>
        <v>4</v>
      </c>
      <c r="G23" s="11">
        <f>IFERROR(__xludf.DUMMYFUNCTION("IF(
  D23="""",
  """",
  LET(
    cant, D23,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3" s="11">
        <f t="array" ref="H23">IF(
  $E23=0,
  0,
  IFERROR(
    VLOOKUP(
      1+SUMPRODUCT(--(FREQUENCY(
        IF($E$14:$E$24&gt;$E23, MATCH($E$14:$E$24, $E$14:$E$24, 0)),
        ROW($E$14:$E$24)-ROW($E$14)+1
      )&gt;0)),
      'Tabla anual'!$E$2:$F$4,
      2,
      FALSE
    ),
    IF($E23&gt;='Tabla anual'!$F$5, 1, 0)
  )
)</f>
        <v>2</v>
      </c>
      <c r="I23" s="32">
        <f t="shared" si="4"/>
        <v>6</v>
      </c>
    </row>
    <row r="24">
      <c r="A24" s="37">
        <v>11.0</v>
      </c>
      <c r="B24" s="10" t="s">
        <v>9</v>
      </c>
      <c r="C24" s="10" t="s">
        <v>45</v>
      </c>
      <c r="D24" s="11">
        <f>21+2</f>
        <v>23</v>
      </c>
      <c r="E24" s="42">
        <f t="shared" si="2"/>
        <v>0</v>
      </c>
      <c r="F24" s="11">
        <f t="shared" si="3"/>
        <v>2</v>
      </c>
      <c r="G24" s="11">
        <f>IFERROR(__xludf.DUMMYFUNCTION("IF(
  D24="""",
  """",
  LET(
    cant, D24,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4" s="11">
        <f t="array" ref="H24">IF(
  $E24=0,
  0,
  IFERROR(
    VLOOKUP(
      1+SUMPRODUCT(--(FREQUENCY(
        IF($E$14:$E$24&gt;$E24, MATCH($E$14:$E$24, $E$14:$E$24, 0)),
        ROW($E$14:$E$24)-ROW($E$14)+1
      )&gt;0)),
      'Tabla anual'!$E$2:$F$4,
      2,
      FALSE
    ),
    IF($E24&gt;='Tabla anual'!$F$5, 1, 0)
  )
)</f>
        <v>0</v>
      </c>
      <c r="I24" s="32">
        <f t="shared" si="4"/>
        <v>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88"/>
    <col customWidth="1" min="3" max="3" width="16.75"/>
    <col customWidth="1" min="4" max="4" width="11.5"/>
    <col customWidth="1" min="5" max="6" width="12.75"/>
    <col customWidth="1" min="7" max="7" width="14.25"/>
    <col customWidth="1" min="8" max="8" width="14.88"/>
    <col customWidth="1" min="9" max="9" width="13.38"/>
  </cols>
  <sheetData>
    <row r="1">
      <c r="A1" s="9" t="s">
        <v>22</v>
      </c>
      <c r="B1" s="3" t="s">
        <v>52</v>
      </c>
    </row>
    <row r="2">
      <c r="A2" s="9" t="s">
        <v>24</v>
      </c>
      <c r="B2" s="19">
        <v>46055.416666666664</v>
      </c>
    </row>
    <row r="3">
      <c r="A3" s="9" t="s">
        <v>25</v>
      </c>
      <c r="B3" s="19">
        <v>46062.916666666664</v>
      </c>
    </row>
    <row r="4">
      <c r="A4" s="9" t="s">
        <v>26</v>
      </c>
      <c r="B4" s="21">
        <f>(B3-B2)*24</f>
        <v>180</v>
      </c>
    </row>
    <row r="5">
      <c r="A5" s="9" t="s">
        <v>44</v>
      </c>
      <c r="B5" s="21">
        <f>150/B4</f>
        <v>0.8333333333</v>
      </c>
    </row>
    <row r="6">
      <c r="A6" s="9" t="s">
        <v>28</v>
      </c>
      <c r="B6" s="3">
        <f>(150*3)/11</f>
        <v>40.90909091</v>
      </c>
    </row>
    <row r="8">
      <c r="A8" s="22" t="s">
        <v>29</v>
      </c>
      <c r="B8" s="22" t="s">
        <v>30</v>
      </c>
      <c r="C8" s="22" t="s">
        <v>31</v>
      </c>
      <c r="D8" s="22" t="s">
        <v>32</v>
      </c>
      <c r="E8" s="23" t="s">
        <v>1</v>
      </c>
    </row>
    <row r="9">
      <c r="A9" s="3" t="s">
        <v>34</v>
      </c>
      <c r="B9" s="3">
        <v>1.0</v>
      </c>
      <c r="C9" s="19">
        <v>46056.57152777778</v>
      </c>
      <c r="D9" s="21">
        <f t="shared" ref="D9:D11" si="1">(C9-$B$2)*24</f>
        <v>27.71666667</v>
      </c>
      <c r="E9" s="25">
        <f>'Tabla anual'!B2</f>
        <v>4</v>
      </c>
    </row>
    <row r="10">
      <c r="A10" s="3" t="s">
        <v>45</v>
      </c>
      <c r="B10" s="3">
        <v>2.0</v>
      </c>
      <c r="C10" s="19">
        <v>46056.63333333333</v>
      </c>
      <c r="D10" s="21">
        <f t="shared" si="1"/>
        <v>29.2</v>
      </c>
      <c r="E10" s="25">
        <f>'Tabla anual'!B3</f>
        <v>3</v>
      </c>
    </row>
    <row r="11">
      <c r="A11" s="3" t="s">
        <v>35</v>
      </c>
      <c r="B11" s="3">
        <v>3.0</v>
      </c>
      <c r="C11" s="19">
        <v>46058.4625</v>
      </c>
      <c r="D11" s="21">
        <f t="shared" si="1"/>
        <v>73.1</v>
      </c>
      <c r="E11" s="25">
        <f>'Tabla anual'!B4</f>
        <v>2</v>
      </c>
    </row>
    <row r="13">
      <c r="A13" s="26" t="s">
        <v>36</v>
      </c>
      <c r="B13" s="26" t="s">
        <v>37</v>
      </c>
      <c r="C13" s="26" t="s">
        <v>29</v>
      </c>
      <c r="D13" s="26" t="s">
        <v>3</v>
      </c>
      <c r="E13" s="26" t="s">
        <v>38</v>
      </c>
      <c r="F13" s="27" t="s">
        <v>39</v>
      </c>
      <c r="G13" s="27" t="s">
        <v>40</v>
      </c>
      <c r="H13" s="27" t="s">
        <v>41</v>
      </c>
      <c r="I13" s="28" t="s">
        <v>42</v>
      </c>
    </row>
    <row r="14">
      <c r="A14" s="29">
        <v>1.0</v>
      </c>
      <c r="B14" s="65" t="s">
        <v>17</v>
      </c>
      <c r="C14" s="65" t="s">
        <v>45</v>
      </c>
      <c r="D14" s="31">
        <f>77-2</f>
        <v>75</v>
      </c>
      <c r="E14" s="30">
        <f t="shared" ref="E14:E24" si="2">IFERROR(
  FLOOR(
    (D14 / VLOOKUP(C14, $A$9:$E$11, 4, FALSE)) / $B$5
  ,1),
  0
)</f>
        <v>3</v>
      </c>
      <c r="F14" s="31">
        <f t="shared" ref="F14:F24" si="3">VLOOKUP(C14, $A$9:$E$11, 5, FALSE)</f>
        <v>3</v>
      </c>
      <c r="G14" s="31">
        <f>IFERROR(__xludf.DUMMYFUNCTION("IF(
  D14="""",
  """",
  LET(
    cant, D14,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4" s="31">
        <f t="array" ref="H14">IF(
  $E14=0,
  0,
  IFERROR(
    VLOOKUP(
      1+SUMPRODUCT(--(FREQUENCY(
        IF($E$14:$E$24&gt;$E14, MATCH($E$14:$E$24, $E$14:$E$24, 0)),
        ROW($E$14:$E$24)-ROW($E$14)+1
      )&gt;0)),
      'Tabla anual'!$E$2:$F$4,
      2,
      FALSE
    ),
    IF($E14&gt;='Tabla anual'!$F$5, 1, 0)
  )
)</f>
        <v>4</v>
      </c>
      <c r="I14" s="32">
        <f t="shared" ref="I14:I24" si="4">sum(F14:H14)</f>
        <v>11</v>
      </c>
    </row>
    <row r="15">
      <c r="A15" s="33">
        <v>2.0</v>
      </c>
      <c r="B15" s="65" t="s">
        <v>11</v>
      </c>
      <c r="C15" s="65" t="s">
        <v>35</v>
      </c>
      <c r="D15" s="65">
        <f>102 -27</f>
        <v>75</v>
      </c>
      <c r="E15" s="30">
        <f t="shared" si="2"/>
        <v>1</v>
      </c>
      <c r="F15" s="31">
        <f t="shared" si="3"/>
        <v>2</v>
      </c>
      <c r="G15" s="31">
        <f>IFERROR(__xludf.DUMMYFUNCTION("IF(
  D15="""",
  """",
  LET(
    cant, D15,
    rango, FILTER($D$14:$D$24, $D$14:$D$24&lt;&gt;""""),
    puestos, SORT(UNIQUE(rango), 1, FALSE),
    puesto, MATCH(cant, puestos, 0),
    IF(
      puesto&lt;=3,
      VLOOKUP(puesto, 'Tabla anual'!$C$2:$D$4, 2, FA"&amp;"LSE),
      IF(cant&gt;=$B$6, 1, 0)
    )
  )
)"),4.0)</f>
        <v>4</v>
      </c>
      <c r="H15" s="31">
        <f t="array" ref="H15">IF(
  $E15=0,
  0,
  IFERROR(
    VLOOKUP(
      1+SUMPRODUCT(--(FREQUENCY(
        IF($E$14:$E$24&gt;$E15, MATCH($E$14:$E$24, $E$14:$E$24, 0)),
        ROW($E$14:$E$24)-ROW($E$14)+1
      )&gt;0)),
      'Tabla anual'!$E$2:$F$4,
      2,
      FALSE
    ),
    IF($E15&gt;='Tabla anual'!$F$5, 1, 0)
  )
)</f>
        <v>2</v>
      </c>
      <c r="I15" s="32">
        <f t="shared" si="4"/>
        <v>8</v>
      </c>
    </row>
    <row r="16">
      <c r="A16" s="33">
        <v>3.0</v>
      </c>
      <c r="B16" s="65" t="s">
        <v>12</v>
      </c>
      <c r="C16" s="65" t="s">
        <v>34</v>
      </c>
      <c r="D16" s="65">
        <v>74.0</v>
      </c>
      <c r="E16" s="30">
        <f t="shared" si="2"/>
        <v>3</v>
      </c>
      <c r="F16" s="31">
        <f t="shared" si="3"/>
        <v>4</v>
      </c>
      <c r="G16" s="31">
        <f>IFERROR(__xludf.DUMMYFUNCTION("IF(
  D16="""",
  """",
  LET(
    cant, D16,
    rango, FILTER($D$14:$D$24, $D$14:$D$24&lt;&gt;""""),
    puestos, SORT(UNIQUE(rango), 1, FALSE),
    puesto, MATCH(cant, puestos, 0),
    IF(
      puesto&lt;=3,
      VLOOKUP(puesto, 'Tabla anual'!$C$2:$D$4, 2, FA"&amp;"LSE),
      IF(cant&gt;=$B$6, 1, 0)
    )
  )
)"),3.0)</f>
        <v>3</v>
      </c>
      <c r="H16" s="31">
        <f t="array" ref="H16">IF(
  $E16=0,
  0,
  IFERROR(
    VLOOKUP(
      1+SUMPRODUCT(--(FREQUENCY(
        IF($E$14:$E$24&gt;$E16, MATCH($E$14:$E$24, $E$14:$E$24, 0)),
        ROW($E$14:$E$24)-ROW($E$14)+1
      )&gt;0)),
      'Tabla anual'!$E$2:$F$4,
      2,
      FALSE
    ),
    IF($E16&gt;='Tabla anual'!$F$5, 1, 0)
  )
)</f>
        <v>4</v>
      </c>
      <c r="I16" s="32">
        <f t="shared" si="4"/>
        <v>11</v>
      </c>
    </row>
    <row r="17">
      <c r="A17" s="37">
        <v>4.0</v>
      </c>
      <c r="B17" s="10" t="s">
        <v>14</v>
      </c>
      <c r="C17" s="10" t="s">
        <v>35</v>
      </c>
      <c r="D17" s="10">
        <f>46+13</f>
        <v>59</v>
      </c>
      <c r="E17" s="42">
        <f t="shared" si="2"/>
        <v>0</v>
      </c>
      <c r="F17" s="11">
        <f t="shared" si="3"/>
        <v>2</v>
      </c>
      <c r="G17" s="11">
        <f>IFERROR(__xludf.DUMMYFUNCTION("IF(
  D17="""",
  """",
  LET(
    cant, D17,
    rango, FILTER($D$14:$D$24, $D$14:$D$24&lt;&gt;""""),
    puestos, SORT(UNIQUE(rango), 1, FALSE),
    puesto, MATCH(cant, puestos, 0),
    IF(
      puesto&lt;=3,
      VLOOKUP(puesto, 'Tabla anual'!$C$2:$D$4, 2, FA"&amp;"LSE),
      IF(cant&gt;=$B$6, 1, 0)
    )
  )
)"),2.0)</f>
        <v>2</v>
      </c>
      <c r="H17" s="11">
        <f t="array" ref="H17">IF(
  $E17=0,
  0,
  IFERROR(
    VLOOKUP(
      1+SUMPRODUCT(--(FREQUENCY(
        IF($E$14:$E$24&gt;$E17, MATCH($E$14:$E$24, $E$14:$E$24, 0)),
        ROW($E$14:$E$24)-ROW($E$14)+1
      )&gt;0)),
      'Tabla anual'!$E$2:$F$4,
      2,
      FALSE
    ),
    IF($E17&gt;='Tabla anual'!$F$5, 1, 0)
  )
)</f>
        <v>0</v>
      </c>
      <c r="I17" s="32">
        <f t="shared" si="4"/>
        <v>4</v>
      </c>
    </row>
    <row r="18">
      <c r="A18" s="33">
        <v>5.0</v>
      </c>
      <c r="B18" s="65" t="s">
        <v>19</v>
      </c>
      <c r="C18" s="65" t="s">
        <v>45</v>
      </c>
      <c r="D18" s="65">
        <v>57.0</v>
      </c>
      <c r="E18" s="30">
        <f t="shared" si="2"/>
        <v>2</v>
      </c>
      <c r="F18" s="31">
        <f t="shared" si="3"/>
        <v>3</v>
      </c>
      <c r="G18" s="31">
        <f>IFERROR(__xludf.DUMMYFUNCTION("IF(
  D18="""",
  """",
  LET(
    cant, D18,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8" s="31">
        <f t="array" ref="H18">IF(
  $E18=0,
  0,
  IFERROR(
    VLOOKUP(
      1+SUMPRODUCT(--(FREQUENCY(
        IF($E$14:$E$24&gt;$E18, MATCH($E$14:$E$24, $E$14:$E$24, 0)),
        ROW($E$14:$E$24)-ROW($E$14)+1
      )&gt;0)),
      'Tabla anual'!$E$2:$F$4,
      2,
      FALSE
    ),
    IF($E18&gt;='Tabla anual'!$F$5, 1, 0)
  )
)</f>
        <v>3</v>
      </c>
      <c r="I18" s="32">
        <f t="shared" si="4"/>
        <v>7</v>
      </c>
    </row>
    <row r="19">
      <c r="A19" s="33">
        <v>6.0</v>
      </c>
      <c r="B19" s="65" t="s">
        <v>10</v>
      </c>
      <c r="C19" s="65" t="s">
        <v>34</v>
      </c>
      <c r="D19" s="65">
        <v>51.0</v>
      </c>
      <c r="E19" s="30">
        <f t="shared" si="2"/>
        <v>2</v>
      </c>
      <c r="F19" s="31">
        <f t="shared" si="3"/>
        <v>4</v>
      </c>
      <c r="G19" s="31">
        <f>IFERROR(__xludf.DUMMYFUNCTION("IF(
  D19="""",
  """",
  LET(
    cant, D19,
    rango, FILTER($D$14:$D$24, $D$14:$D$24&lt;&gt;""""),
    puestos, SORT(UNIQUE(rango), 1, FALSE),
    puesto, MATCH(cant, puestos, 0),
    IF(
      puesto&lt;=3,
      VLOOKUP(puesto, 'Tabla anual'!$C$2:$D$4, 2, FA"&amp;"LSE),
      IF(cant&gt;=$B$6, 1, 0)
    )
  )
)"),1.0)</f>
        <v>1</v>
      </c>
      <c r="H19" s="31">
        <f t="array" ref="H19">IF(
  $E19=0,
  0,
  IFERROR(
    VLOOKUP(
      1+SUMPRODUCT(--(FREQUENCY(
        IF($E$14:$E$24&gt;$E19, MATCH($E$14:$E$24, $E$14:$E$24, 0)),
        ROW($E$14:$E$24)-ROW($E$14)+1
      )&gt;0)),
      'Tabla anual'!$E$2:$F$4,
      2,
      FALSE
    ),
    IF($E19&gt;='Tabla anual'!$F$5, 1, 0)
  )
)</f>
        <v>3</v>
      </c>
      <c r="I19" s="32">
        <f t="shared" si="4"/>
        <v>8</v>
      </c>
    </row>
    <row r="20">
      <c r="A20" s="37">
        <v>7.0</v>
      </c>
      <c r="B20" s="10" t="s">
        <v>18</v>
      </c>
      <c r="C20" s="10" t="s">
        <v>34</v>
      </c>
      <c r="D20" s="10">
        <v>22.0</v>
      </c>
      <c r="E20" s="42">
        <f t="shared" si="2"/>
        <v>0</v>
      </c>
      <c r="F20" s="11">
        <f t="shared" si="3"/>
        <v>4</v>
      </c>
      <c r="G20" s="11">
        <f>IFERROR(__xludf.DUMMYFUNCTION("IF(
  D20="""",
  """",
  LET(
    cant, D20,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0" s="11">
        <f t="array" ref="H20">IF(
  $E20=0,
  0,
  IFERROR(
    VLOOKUP(
      1+SUMPRODUCT(--(FREQUENCY(
        IF($E$14:$E$24&gt;$E20, MATCH($E$14:$E$24, $E$14:$E$24, 0)),
        ROW($E$14:$E$24)-ROW($E$14)+1
      )&gt;0)),
      'Tabla anual'!$E$2:$F$4,
      2,
      FALSE
    ),
    IF($E20&gt;='Tabla anual'!$F$5, 1, 0)
  )
)</f>
        <v>0</v>
      </c>
      <c r="I20" s="32">
        <f t="shared" si="4"/>
        <v>4</v>
      </c>
    </row>
    <row r="21">
      <c r="A21" s="37">
        <v>8.0</v>
      </c>
      <c r="B21" s="10" t="s">
        <v>16</v>
      </c>
      <c r="C21" s="10" t="s">
        <v>45</v>
      </c>
      <c r="D21" s="10">
        <v>16.0</v>
      </c>
      <c r="E21" s="42">
        <f t="shared" si="2"/>
        <v>0</v>
      </c>
      <c r="F21" s="11">
        <f t="shared" si="3"/>
        <v>3</v>
      </c>
      <c r="G21" s="11">
        <f>IFERROR(__xludf.DUMMYFUNCTION("IF(
  D21="""",
  """",
  LET(
    cant, D21,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1" s="11">
        <f t="array" ref="H21">IF(
  $E21=0,
  0,
  IFERROR(
    VLOOKUP(
      1+SUMPRODUCT(--(FREQUENCY(
        IF($E$14:$E$24&gt;$E21, MATCH($E$14:$E$24, $E$14:$E$24, 0)),
        ROW($E$14:$E$24)-ROW($E$14)+1
      )&gt;0)),
      'Tabla anual'!$E$2:$F$4,
      2,
      FALSE
    ),
    IF($E21&gt;='Tabla anual'!$F$5, 1, 0)
  )
)</f>
        <v>0</v>
      </c>
      <c r="I21" s="32">
        <f t="shared" si="4"/>
        <v>3</v>
      </c>
    </row>
    <row r="22">
      <c r="A22" s="37">
        <v>9.0</v>
      </c>
      <c r="B22" s="10" t="s">
        <v>9</v>
      </c>
      <c r="C22" s="10" t="s">
        <v>35</v>
      </c>
      <c r="D22" s="10">
        <f>2+14</f>
        <v>16</v>
      </c>
      <c r="E22" s="42">
        <f t="shared" si="2"/>
        <v>0</v>
      </c>
      <c r="F22" s="11">
        <f t="shared" si="3"/>
        <v>2</v>
      </c>
      <c r="G22" s="11">
        <f>IFERROR(__xludf.DUMMYFUNCTION("IF(
  D22="""",
  """",
  LET(
    cant, D22,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2" s="11">
        <f t="array" ref="H22">IF(
  $E22=0,
  0,
  IFERROR(
    VLOOKUP(
      1+SUMPRODUCT(--(FREQUENCY(
        IF($E$14:$E$24&gt;$E22, MATCH($E$14:$E$24, $E$14:$E$24, 0)),
        ROW($E$14:$E$24)-ROW($E$14)+1
      )&gt;0)),
      'Tabla anual'!$E$2:$F$4,
      2,
      FALSE
    ),
    IF($E22&gt;='Tabla anual'!$F$5, 1, 0)
  )
)</f>
        <v>0</v>
      </c>
      <c r="I22" s="32">
        <f t="shared" si="4"/>
        <v>2</v>
      </c>
    </row>
    <row r="23">
      <c r="A23" s="37">
        <v>10.0</v>
      </c>
      <c r="B23" s="10" t="s">
        <v>13</v>
      </c>
      <c r="C23" s="10" t="s">
        <v>34</v>
      </c>
      <c r="D23" s="10">
        <v>3.0</v>
      </c>
      <c r="E23" s="42">
        <f t="shared" si="2"/>
        <v>0</v>
      </c>
      <c r="F23" s="11">
        <f t="shared" si="3"/>
        <v>4</v>
      </c>
      <c r="G23" s="11">
        <f>IFERROR(__xludf.DUMMYFUNCTION("IF(
  D23="""",
  """",
  LET(
    cant, D23,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3" s="11">
        <f t="array" ref="H23">IF(
  $E23=0,
  0,
  IFERROR(
    VLOOKUP(
      1+SUMPRODUCT(--(FREQUENCY(
        IF($E$14:$E$24&gt;$E23, MATCH($E$14:$E$24, $E$14:$E$24, 0)),
        ROW($E$14:$E$24)-ROW($E$14)+1
      )&gt;0)),
      'Tabla anual'!$E$2:$F$4,
      2,
      FALSE
    ),
    IF($E23&gt;='Tabla anual'!$F$5, 1, 0)
  )
)</f>
        <v>0</v>
      </c>
      <c r="I23" s="32">
        <f t="shared" si="4"/>
        <v>4</v>
      </c>
    </row>
    <row r="24">
      <c r="A24" s="37">
        <v>11.0</v>
      </c>
      <c r="B24" s="10" t="s">
        <v>15</v>
      </c>
      <c r="C24" s="10" t="s">
        <v>45</v>
      </c>
      <c r="D24" s="10">
        <v>2.0</v>
      </c>
      <c r="E24" s="42">
        <f t="shared" si="2"/>
        <v>0</v>
      </c>
      <c r="F24" s="11">
        <f t="shared" si="3"/>
        <v>3</v>
      </c>
      <c r="G24" s="11">
        <f>IFERROR(__xludf.DUMMYFUNCTION("IF(
  D24="""",
  """",
  LET(
    cant, D24,
    rango, FILTER($D$14:$D$24, $D$14:$D$24&lt;&gt;""""),
    puestos, SORT(UNIQUE(rango), 1, FALSE),
    puesto, MATCH(cant, puestos, 0),
    IF(
      puesto&lt;=3,
      VLOOKUP(puesto, 'Tabla anual'!$C$2:$D$4, 2, FA"&amp;"LSE),
      IF(cant&gt;=$B$6, 1, 0)
    )
  )
)"),0.0)</f>
        <v>0</v>
      </c>
      <c r="H24" s="11">
        <f t="array" ref="H24">IF(
  $E24=0,
  0,
  IFERROR(
    VLOOKUP(
      1+SUMPRODUCT(--(FREQUENCY(
        IF($E$14:$E$24&gt;$E24, MATCH($E$14:$E$24, $E$14:$E$24, 0)),
        ROW($E$14:$E$24)-ROW($E$14)+1
      )&gt;0)),
      'Tabla anual'!$E$2:$F$4,
      2,
      FALSE
    ),
    IF($E24&gt;='Tabla anual'!$F$5, 1, 0)
  )
)</f>
        <v>0</v>
      </c>
      <c r="I24" s="32">
        <f t="shared" si="4"/>
        <v>3</v>
      </c>
    </row>
  </sheetData>
  <drawing r:id="rId1"/>
</worksheet>
</file>